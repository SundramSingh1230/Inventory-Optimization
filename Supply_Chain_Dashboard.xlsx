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ducts" sheetId="2" state="visible" r:id="rId4"/>
    <sheet name="Suppliers" sheetId="3" state="visible" r:id="rId5"/>
    <sheet name="Warehouses" sheetId="4" state="visible" r:id="rId6"/>
    <sheet name="Inventory" sheetId="5" state="visible" r:id="rId7"/>
    <sheet name="Reorder_Model" sheetId="6" state="visible" r:id="rId8"/>
    <sheet name="Supplier_Scorec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<sst xmlns="http://schemas.openxmlformats.org/spreadsheetml/2006/main" count="1026" uniqueCount="123">
  <si>
    <t xml:space="preserve">Supply Chain Inventory Dashboard</t>
  </si>
  <si>
    <t xml:space="preserve">Live workbook — Status and KPIs recalculate from the Inventory / Products / Warehouses tabs</t>
  </si>
  <si>
    <t xml:space="preserve">Total SKU-Warehouse Combos</t>
  </si>
  <si>
    <t xml:space="preserve">Combos At/Below Reorder Point</t>
  </si>
  <si>
    <t xml:space="preserve">% At Risk</t>
  </si>
  <si>
    <t xml:space="preserve">Avg Days-Equivalent Safety Stock</t>
  </si>
  <si>
    <t xml:space="preserve">Product ID</t>
  </si>
  <si>
    <t xml:space="preserve">Product Name</t>
  </si>
  <si>
    <t xml:space="preserve">Category</t>
  </si>
  <si>
    <t xml:space="preserve">Warehouse ID</t>
  </si>
  <si>
    <t xml:space="preserve">Warehouse Name</t>
  </si>
  <si>
    <t xml:space="preserve">Stock on Hand</t>
  </si>
  <si>
    <t xml:space="preserve">Reorder Point</t>
  </si>
  <si>
    <t xml:space="preserve">Safety Stock</t>
  </si>
  <si>
    <t xml:space="preserve">Units Below ROP</t>
  </si>
  <si>
    <t xml:space="preserve">Status</t>
  </si>
  <si>
    <t xml:space="preserve">Warehouse</t>
  </si>
  <si>
    <t xml:space="preserve">OK</t>
  </si>
  <si>
    <t xml:space="preserve">REORDER</t>
  </si>
  <si>
    <t xml:space="preserve">Product Id</t>
  </si>
  <si>
    <t xml:space="preserve">Unit Cost</t>
  </si>
  <si>
    <t xml:space="preserve">Unit Price</t>
  </si>
  <si>
    <t xml:space="preserve">P001</t>
  </si>
  <si>
    <t xml:space="preserve">Wireless Mouse</t>
  </si>
  <si>
    <t xml:space="preserve">Electronics</t>
  </si>
  <si>
    <t xml:space="preserve">P002</t>
  </si>
  <si>
    <t xml:space="preserve">USB-C Hub</t>
  </si>
  <si>
    <t xml:space="preserve">Home &amp; Kitchen</t>
  </si>
  <si>
    <t xml:space="preserve">P003</t>
  </si>
  <si>
    <t xml:space="preserve">Bluetooth Speaker</t>
  </si>
  <si>
    <t xml:space="preserve">Office Supplies</t>
  </si>
  <si>
    <t xml:space="preserve">P004</t>
  </si>
  <si>
    <t xml:space="preserve">LED Desk Lamp</t>
  </si>
  <si>
    <t xml:space="preserve">Apparel</t>
  </si>
  <si>
    <t xml:space="preserve">P005</t>
  </si>
  <si>
    <t xml:space="preserve">Noise-Cancel Headphones</t>
  </si>
  <si>
    <t xml:space="preserve">Tools</t>
  </si>
  <si>
    <t xml:space="preserve">P006</t>
  </si>
  <si>
    <t xml:space="preserve">Stainless Steel Water Bottle</t>
  </si>
  <si>
    <t xml:space="preserve">P007</t>
  </si>
  <si>
    <t xml:space="preserve">Non-Stick Frying Pan</t>
  </si>
  <si>
    <t xml:space="preserve">P008</t>
  </si>
  <si>
    <t xml:space="preserve">Ceramic Mug Set</t>
  </si>
  <si>
    <t xml:space="preserve">P009</t>
  </si>
  <si>
    <t xml:space="preserve">Electric Kettle</t>
  </si>
  <si>
    <t xml:space="preserve">P010</t>
  </si>
  <si>
    <t xml:space="preserve">Blender</t>
  </si>
  <si>
    <t xml:space="preserve">P011</t>
  </si>
  <si>
    <t xml:space="preserve">A4 Notebook Pack</t>
  </si>
  <si>
    <t xml:space="preserve">P012</t>
  </si>
  <si>
    <t xml:space="preserve">Gel Pens (12-pack)</t>
  </si>
  <si>
    <t xml:space="preserve">P013</t>
  </si>
  <si>
    <t xml:space="preserve">Sticky Notes</t>
  </si>
  <si>
    <t xml:space="preserve">P014</t>
  </si>
  <si>
    <t xml:space="preserve">Desk Organizer</t>
  </si>
  <si>
    <t xml:space="preserve">P015</t>
  </si>
  <si>
    <t xml:space="preserve">Stapler</t>
  </si>
  <si>
    <t xml:space="preserve">P016</t>
  </si>
  <si>
    <t xml:space="preserve">Cotton T-Shirt</t>
  </si>
  <si>
    <t xml:space="preserve">P017</t>
  </si>
  <si>
    <t xml:space="preserve">Denim Jacket</t>
  </si>
  <si>
    <t xml:space="preserve">P018</t>
  </si>
  <si>
    <t xml:space="preserve">Running Shoes</t>
  </si>
  <si>
    <t xml:space="preserve">P019</t>
  </si>
  <si>
    <t xml:space="preserve">Wool Socks (3-pack)</t>
  </si>
  <si>
    <t xml:space="preserve">P020</t>
  </si>
  <si>
    <t xml:space="preserve">Baseball Cap</t>
  </si>
  <si>
    <t xml:space="preserve">P021</t>
  </si>
  <si>
    <t xml:space="preserve">Cordless Drill</t>
  </si>
  <si>
    <t xml:space="preserve">P022</t>
  </si>
  <si>
    <t xml:space="preserve">Hammer</t>
  </si>
  <si>
    <t xml:space="preserve">P023</t>
  </si>
  <si>
    <t xml:space="preserve">Tool Box</t>
  </si>
  <si>
    <t xml:space="preserve">P024</t>
  </si>
  <si>
    <t xml:space="preserve">Measuring Tape</t>
  </si>
  <si>
    <t xml:space="preserve">P025</t>
  </si>
  <si>
    <t xml:space="preserve">Screwdriver Set</t>
  </si>
  <si>
    <t xml:space="preserve">Supplier Id</t>
  </si>
  <si>
    <t xml:space="preserve">Supplier Name</t>
  </si>
  <si>
    <t xml:space="preserve">Lead Time Days</t>
  </si>
  <si>
    <t xml:space="preserve">On Time Delivery Rate</t>
  </si>
  <si>
    <t xml:space="preserve">S07</t>
  </si>
  <si>
    <t xml:space="preserve">Harbor &amp; Co</t>
  </si>
  <si>
    <t xml:space="preserve">S05</t>
  </si>
  <si>
    <t xml:space="preserve">Meridian Wholesale</t>
  </si>
  <si>
    <t xml:space="preserve">S01</t>
  </si>
  <si>
    <t xml:space="preserve">Global Parts Co</t>
  </si>
  <si>
    <t xml:space="preserve">S06</t>
  </si>
  <si>
    <t xml:space="preserve">Crestpoint Industries</t>
  </si>
  <si>
    <t xml:space="preserve">S03</t>
  </si>
  <si>
    <t xml:space="preserve">Pacific Sourcing Ltd</t>
  </si>
  <si>
    <t xml:space="preserve">S04</t>
  </si>
  <si>
    <t xml:space="preserve">Union Freight Supply</t>
  </si>
  <si>
    <t xml:space="preserve">S08</t>
  </si>
  <si>
    <t xml:space="preserve">Silverline Distributors</t>
  </si>
  <si>
    <t xml:space="preserve">S02</t>
  </si>
  <si>
    <t xml:space="preserve">Northline Trading</t>
  </si>
  <si>
    <t xml:space="preserve">Warehouse Id</t>
  </si>
  <si>
    <t xml:space="preserve">Region</t>
  </si>
  <si>
    <t xml:space="preserve">W1</t>
  </si>
  <si>
    <t xml:space="preserve">North DC</t>
  </si>
  <si>
    <t xml:space="preserve">North</t>
  </si>
  <si>
    <t xml:space="preserve">W2</t>
  </si>
  <si>
    <t xml:space="preserve">South DC</t>
  </si>
  <si>
    <t xml:space="preserve">South</t>
  </si>
  <si>
    <t xml:space="preserve">W3</t>
  </si>
  <si>
    <t xml:space="preserve">East DC</t>
  </si>
  <si>
    <t xml:space="preserve">East</t>
  </si>
  <si>
    <t xml:space="preserve">W4</t>
  </si>
  <si>
    <t xml:space="preserve">West DC</t>
  </si>
  <si>
    <t xml:space="preserve">West</t>
  </si>
  <si>
    <t xml:space="preserve">Stock On Hand</t>
  </si>
  <si>
    <t xml:space="preserve">Avg Daily Demand</t>
  </si>
  <si>
    <t xml:space="preserve">Std Daily Demand</t>
  </si>
  <si>
    <t xml:space="preserve">Recommended Safety Stock</t>
  </si>
  <si>
    <t xml:space="preserve">Recommended Reorder Point</t>
  </si>
  <si>
    <t xml:space="preserve">Source: analysis.py — 3-mo moving avg / exponential smoothing demand model, 95% service level (Z=1.65). Recomputed whenever generate_data.py / analysis.py are re-run.</t>
  </si>
  <si>
    <t xml:space="preserve">Supplier Scorecard</t>
  </si>
  <si>
    <t xml:space="preserve">Legend: yellow cells are the only inputs (supplier IDs) — everything else recalculates from the Suppliers tab.</t>
  </si>
  <si>
    <t xml:space="preserve">Supplier ID</t>
  </si>
  <si>
    <t xml:space="preserve">Products Supplied</t>
  </si>
  <si>
    <t xml:space="preserve">Avg Lead Time (days)</t>
  </si>
  <si>
    <t xml:space="preserve">Avg On-Time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</si>
</sst>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CB"/>
        </patternFill>
      </fill>
    </dxf>
    <dxf>
      <fill>
        <patternFill>
          <bgColor rgb="FFC6E8C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Reorder Status by Warehouse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Dashboard!M7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Dashboard!$L$8:$L$11</c:f>
              <c:strCache>
                <c:ptCount val="4"/>
                <c:pt idx="0">
                  <c:v>North DC</c:v>
                </c:pt>
                <c:pt idx="1">
                  <c:v>South DC</c:v>
                </c:pt>
                <c:pt idx="2">
                  <c:v>East DC</c:v>
                </c:pt>
                <c:pt idx="3">
                  <c:v>West DC</c:v>
                </c:pt>
              </c:strCache>
            </c:strRef>
          </c:cat>
          <c:val>
            <c:numRef>
              <c:f>Dashboard!$M$8:$M$11</c:f>
              <c:numCache>
                <c:formatCode>General</c:formatCode>
                <c:ptCount val="4"/>
                <c:pt idx="0">
                  <c:v>19</c:v>
                </c:pt>
                <c:pt idx="1">
                  <c:v>17</c:v>
                </c:pt>
                <c:pt idx="2">
                  <c:v>22</c:v>
                </c:pt>
                <c:pt idx="3">
                  <c:v>20</c:v>
                </c:pt>
              </c:numCache>
            </c:numRef>
          </c:val>
        </c:ser>
        <c:ser>
          <c:idx val="1"/>
          <c:order val="1"/>
          <c:tx>
            <c:strRef>
              <c:f>Dashboard!N7</c:f>
              <c:strCache>
                <c:ptCount val="1"/>
                <c:pt idx="0">
                  <c:v>REORDER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Dashboard!$L$8:$L$11</c:f>
              <c:strCache>
                <c:ptCount val="4"/>
                <c:pt idx="0">
                  <c:v>North DC</c:v>
                </c:pt>
                <c:pt idx="1">
                  <c:v>South DC</c:v>
                </c:pt>
                <c:pt idx="2">
                  <c:v>East DC</c:v>
                </c:pt>
                <c:pt idx="3">
                  <c:v>West DC</c:v>
                </c:pt>
              </c:strCache>
            </c:strRef>
          </c:cat>
          <c:val>
            <c:numRef>
              <c:f>Dashboard!$N$8:$N$11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gapWidth val="150"/>
        <c:overlap val="100"/>
        <c:axId val="10275480"/>
        <c:axId val="59820571"/>
      </c:barChart>
      <c:catAx>
        <c:axId val="102754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Warehouse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20571"/>
        <c:crosses val="autoZero"/>
        <c:auto val="1"/>
        <c:lblAlgn val="ctr"/>
        <c:lblOffset val="100"/>
        <c:noMultiLvlLbl val="0"/>
      </c:catAx>
      <c:valAx>
        <c:axId val="59820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SKU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75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On-Time Delivery %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Supplier_Scorecard!E4</c:f>
              <c:strCache>
                <c:ptCount val="1"/>
                <c:pt idx="0">
                  <c:v>Avg On-Time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Supplier_Scorecard!$B$5:$B$12</c:f>
              <c:strCache>
                <c:ptCount val="8"/>
                <c:pt idx="0">
                  <c:v>Global Parts Co</c:v>
                </c:pt>
                <c:pt idx="1">
                  <c:v>Northline Trading</c:v>
                </c:pt>
                <c:pt idx="2">
                  <c:v>Pacific Sourcing Ltd</c:v>
                </c:pt>
                <c:pt idx="3">
                  <c:v>Union Freight Supply</c:v>
                </c:pt>
                <c:pt idx="4">
                  <c:v>Meridian Wholesale</c:v>
                </c:pt>
                <c:pt idx="5">
                  <c:v>Crestpoint Industries</c:v>
                </c:pt>
                <c:pt idx="6">
                  <c:v>Harbor &amp; Co</c:v>
                </c:pt>
                <c:pt idx="7">
                  <c:v>Silverline Distributors</c:v>
                </c:pt>
              </c:strCache>
            </c:strRef>
          </c:cat>
          <c:val>
            <c:numRef>
              <c:f>Supplier_Scorecard!$E$5:$E$12</c:f>
              <c:numCache>
                <c:formatCode>0.0%</c:formatCode>
                <c:ptCount val="8"/>
                <c:pt idx="0">
                  <c:v>0.919</c:v>
                </c:pt>
                <c:pt idx="1">
                  <c:v>0.944</c:v>
                </c:pt>
                <c:pt idx="2">
                  <c:v>0.845</c:v>
                </c:pt>
                <c:pt idx="3">
                  <c:v>0.8665</c:v>
                </c:pt>
                <c:pt idx="4">
                  <c:v>0.767666666666667</c:v>
                </c:pt>
                <c:pt idx="5">
                  <c:v>0.797</c:v>
                </c:pt>
                <c:pt idx="6">
                  <c:v>0.891</c:v>
                </c:pt>
                <c:pt idx="7">
                  <c:v>0.8795</c:v>
                </c:pt>
              </c:numCache>
            </c:numRef>
          </c:val>
        </c:ser>
        <c:gapWidth val="150"/>
        <c:overlap val="0"/>
        <c:axId val="14408489"/>
        <c:axId val="36337605"/>
      </c:barChart>
      <c:catAx>
        <c:axId val="1440848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37605"/>
        <c:crosses val="autoZero"/>
        <c:auto val="1"/>
        <c:lblAlgn val="ctr"/>
        <c:lblOffset val="100"/>
        <c:noMultiLvlLbl val="0"/>
      </c:catAx>
      <c:valAx>
        <c:axId val="36337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08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8</xdr:row>
      <xdr:rowOff>141120</xdr:rowOff>
    </xdr:from>
    <xdr:to>
      <xdr:col>19</xdr:col>
      <xdr:colOff>147600</xdr:colOff>
      <xdr:row>23</xdr:row>
      <xdr:rowOff>163080</xdr:rowOff>
    </xdr:to>
    <xdr:graphicFrame>
      <xdr:nvGraphicFramePr>
        <xdr:cNvPr id="0" name="Chart 1"/>
        <xdr:cNvGraphicFramePr/>
      </xdr:nvGraphicFramePr>
      <xdr:xfrm>
        <a:off x="10690920" y="1905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160920</xdr:rowOff>
    </xdr:from>
    <xdr:to>
      <xdr:col>4</xdr:col>
      <xdr:colOff>825840</xdr:colOff>
      <xdr:row>31</xdr:row>
      <xdr:rowOff>162000</xdr:rowOff>
    </xdr:to>
    <xdr:graphicFrame>
      <xdr:nvGraphicFramePr>
        <xdr:cNvPr id="1" name="Chart 1"/>
        <xdr:cNvGraphicFramePr/>
      </xdr:nvGraphicFramePr>
      <xdr:xfrm>
        <a:off x="0" y="2857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D3" s="3" t="s">
        <v>3</v>
      </c>
      <c r="F3" s="3" t="s">
        <v>4</v>
      </c>
      <c r="H3" s="3" t="s">
        <v>5</v>
      </c>
    </row>
    <row r="4" customFormat="false" ht="19.7" hidden="false" customHeight="false" outlineLevel="0" collapsed="false">
      <c r="B4" s="4" t="n">
        <f aca="false">COUNTA(Inventory!A2:A101)</f>
        <v>100</v>
      </c>
      <c r="D4" s="5" t="n">
        <f aca="false">COUNTIF(J8:J107,"REORDER")</f>
        <v>22</v>
      </c>
      <c r="F4" s="6" t="n">
        <f aca="false">D4/B4</f>
        <v>0.22</v>
      </c>
      <c r="H4" s="4" t="n">
        <f aca="false">AVERAGE(Inventory!E2:E101)</f>
        <v>40.05</v>
      </c>
    </row>
    <row r="7" customFormat="false" ht="26.8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L7" s="8" t="s">
        <v>16</v>
      </c>
      <c r="M7" s="8" t="s">
        <v>17</v>
      </c>
      <c r="N7" s="8" t="s">
        <v>18</v>
      </c>
    </row>
    <row r="8" customFormat="false" ht="15" hidden="false" customHeight="false" outlineLevel="0" collapsed="false">
      <c r="A8" s="9" t="str">
        <f aca="false">Inventory!A2</f>
        <v>P001</v>
      </c>
      <c r="B8" s="9" t="str">
        <f aca="false">INDEX(Products!$B$2:$B$26,MATCH(A8,Products!$A$2:$A$26,0))</f>
        <v>Wireless Mouse</v>
      </c>
      <c r="C8" s="9" t="str">
        <f aca="false">INDEX(Products!$C$2:$C$26,MATCH(A8,Products!$A$2:$A$26,0))</f>
        <v>Electronics</v>
      </c>
      <c r="D8" s="9" t="str">
        <f aca="false">Inventory!B2</f>
        <v>W1</v>
      </c>
      <c r="E8" s="9" t="str">
        <f aca="false">INDEX(Warehouses!$B$2:$B$5,MATCH(D8,Warehouses!$A$2:$A$5,0))</f>
        <v>North DC</v>
      </c>
      <c r="F8" s="9" t="n">
        <f aca="false">Inventory!C2</f>
        <v>107</v>
      </c>
      <c r="G8" s="9" t="n">
        <f aca="false">Inventory!D2</f>
        <v>107</v>
      </c>
      <c r="H8" s="9" t="n">
        <f aca="false">Inventory!E2</f>
        <v>28</v>
      </c>
      <c r="I8" s="10" t="n">
        <f aca="false">MAX(0,G8-F8)</f>
        <v>0</v>
      </c>
      <c r="J8" s="9" t="str">
        <f aca="false">IF(F8&lt;=G8,"REORDER","OK")</f>
        <v>REORDER</v>
      </c>
      <c r="L8" s="11" t="str">
        <f aca="false">Warehouses!B2</f>
        <v>North DC</v>
      </c>
      <c r="M8" s="11" t="n">
        <f aca="false">COUNTIFS($D$8:$D$107,Warehouses!A2,$J$8:$J$107,"OK")</f>
        <v>19</v>
      </c>
      <c r="N8" s="11" t="n">
        <f aca="false">COUNTIFS($D$8:$D$107,Warehouses!A2,$J$8:$J$107,"REORDER")</f>
        <v>6</v>
      </c>
    </row>
    <row r="9" customFormat="false" ht="15" hidden="false" customHeight="false" outlineLevel="0" collapsed="false">
      <c r="A9" s="9" t="str">
        <f aca="false">Inventory!A3</f>
        <v>P001</v>
      </c>
      <c r="B9" s="9" t="str">
        <f aca="false">INDEX(Products!$B$2:$B$26,MATCH(A9,Products!$A$2:$A$26,0))</f>
        <v>Wireless Mouse</v>
      </c>
      <c r="C9" s="9" t="str">
        <f aca="false">INDEX(Products!$C$2:$C$26,MATCH(A9,Products!$A$2:$A$26,0))</f>
        <v>Electronics</v>
      </c>
      <c r="D9" s="9" t="str">
        <f aca="false">Inventory!B3</f>
        <v>W2</v>
      </c>
      <c r="E9" s="9" t="str">
        <f aca="false">INDEX(Warehouses!$B$2:$B$5,MATCH(D9,Warehouses!$A$2:$A$5,0))</f>
        <v>South DC</v>
      </c>
      <c r="F9" s="9" t="n">
        <f aca="false">Inventory!C3</f>
        <v>282</v>
      </c>
      <c r="G9" s="9" t="n">
        <f aca="false">Inventory!D3</f>
        <v>273</v>
      </c>
      <c r="H9" s="9" t="n">
        <f aca="false">Inventory!E3</f>
        <v>78</v>
      </c>
      <c r="I9" s="10" t="n">
        <f aca="false">MAX(0,G9-F9)</f>
        <v>0</v>
      </c>
      <c r="J9" s="9" t="str">
        <f aca="false">IF(F9&lt;=G9,"REORDER","OK")</f>
        <v>OK</v>
      </c>
      <c r="L9" s="11" t="str">
        <f aca="false">Warehouses!B3</f>
        <v>South DC</v>
      </c>
      <c r="M9" s="11" t="n">
        <f aca="false">COUNTIFS($D$8:$D$107,Warehouses!A3,$J$8:$J$107,"OK")</f>
        <v>17</v>
      </c>
      <c r="N9" s="11" t="n">
        <f aca="false">COUNTIFS($D$8:$D$107,Warehouses!A3,$J$8:$J$107,"REORDER")</f>
        <v>8</v>
      </c>
    </row>
    <row r="10" customFormat="false" ht="15" hidden="false" customHeight="false" outlineLevel="0" collapsed="false">
      <c r="A10" s="9" t="str">
        <f aca="false">Inventory!A4</f>
        <v>P001</v>
      </c>
      <c r="B10" s="9" t="str">
        <f aca="false">INDEX(Products!$B$2:$B$26,MATCH(A10,Products!$A$2:$A$26,0))</f>
        <v>Wireless Mouse</v>
      </c>
      <c r="C10" s="9" t="str">
        <f aca="false">INDEX(Products!$C$2:$C$26,MATCH(A10,Products!$A$2:$A$26,0))</f>
        <v>Electronics</v>
      </c>
      <c r="D10" s="9" t="str">
        <f aca="false">Inventory!B4</f>
        <v>W3</v>
      </c>
      <c r="E10" s="9" t="str">
        <f aca="false">INDEX(Warehouses!$B$2:$B$5,MATCH(D10,Warehouses!$A$2:$A$5,0))</f>
        <v>East DC</v>
      </c>
      <c r="F10" s="9" t="n">
        <f aca="false">Inventory!C4</f>
        <v>304</v>
      </c>
      <c r="G10" s="9" t="n">
        <f aca="false">Inventory!D4</f>
        <v>145</v>
      </c>
      <c r="H10" s="9" t="n">
        <f aca="false">Inventory!E4</f>
        <v>39</v>
      </c>
      <c r="I10" s="10" t="n">
        <f aca="false">MAX(0,G10-F10)</f>
        <v>0</v>
      </c>
      <c r="J10" s="9" t="str">
        <f aca="false">IF(F10&lt;=G10,"REORDER","OK")</f>
        <v>OK</v>
      </c>
      <c r="L10" s="11" t="str">
        <f aca="false">Warehouses!B4</f>
        <v>East DC</v>
      </c>
      <c r="M10" s="11" t="n">
        <f aca="false">COUNTIFS($D$8:$D$107,Warehouses!A4,$J$8:$J$107,"OK")</f>
        <v>22</v>
      </c>
      <c r="N10" s="11" t="n">
        <f aca="false">COUNTIFS($D$8:$D$107,Warehouses!A4,$J$8:$J$107,"REORDER")</f>
        <v>3</v>
      </c>
    </row>
    <row r="11" customFormat="false" ht="15" hidden="false" customHeight="false" outlineLevel="0" collapsed="false">
      <c r="A11" s="9" t="str">
        <f aca="false">Inventory!A5</f>
        <v>P001</v>
      </c>
      <c r="B11" s="9" t="str">
        <f aca="false">INDEX(Products!$B$2:$B$26,MATCH(A11,Products!$A$2:$A$26,0))</f>
        <v>Wireless Mouse</v>
      </c>
      <c r="C11" s="9" t="str">
        <f aca="false">INDEX(Products!$C$2:$C$26,MATCH(A11,Products!$A$2:$A$26,0))</f>
        <v>Electronics</v>
      </c>
      <c r="D11" s="9" t="str">
        <f aca="false">Inventory!B5</f>
        <v>W4</v>
      </c>
      <c r="E11" s="9" t="str">
        <f aca="false">INDEX(Warehouses!$B$2:$B$5,MATCH(D11,Warehouses!$A$2:$A$5,0))</f>
        <v>West DC</v>
      </c>
      <c r="F11" s="9" t="n">
        <f aca="false">Inventory!C5</f>
        <v>257</v>
      </c>
      <c r="G11" s="9" t="n">
        <f aca="false">Inventory!D5</f>
        <v>185</v>
      </c>
      <c r="H11" s="9" t="n">
        <f aca="false">Inventory!E5</f>
        <v>34</v>
      </c>
      <c r="I11" s="10" t="n">
        <f aca="false">MAX(0,G11-F11)</f>
        <v>0</v>
      </c>
      <c r="J11" s="9" t="str">
        <f aca="false">IF(F11&lt;=G11,"REORDER","OK")</f>
        <v>OK</v>
      </c>
      <c r="L11" s="11" t="str">
        <f aca="false">Warehouses!B5</f>
        <v>West DC</v>
      </c>
      <c r="M11" s="11" t="n">
        <f aca="false">COUNTIFS($D$8:$D$107,Warehouses!A5,$J$8:$J$107,"OK")</f>
        <v>20</v>
      </c>
      <c r="N11" s="11" t="n">
        <f aca="false">COUNTIFS($D$8:$D$107,Warehouses!A5,$J$8:$J$107,"REORDER")</f>
        <v>5</v>
      </c>
    </row>
    <row r="12" customFormat="false" ht="15" hidden="false" customHeight="false" outlineLevel="0" collapsed="false">
      <c r="A12" s="9" t="str">
        <f aca="false">Inventory!A6</f>
        <v>P002</v>
      </c>
      <c r="B12" s="9" t="str">
        <f aca="false">INDEX(Products!$B$2:$B$26,MATCH(A12,Products!$A$2:$A$26,0))</f>
        <v>USB-C Hub</v>
      </c>
      <c r="C12" s="9" t="str">
        <f aca="false">INDEX(Products!$C$2:$C$26,MATCH(A12,Products!$A$2:$A$26,0))</f>
        <v>Home &amp; Kitchen</v>
      </c>
      <c r="D12" s="9" t="str">
        <f aca="false">Inventory!B6</f>
        <v>W1</v>
      </c>
      <c r="E12" s="9" t="str">
        <f aca="false">INDEX(Warehouses!$B$2:$B$5,MATCH(D12,Warehouses!$A$2:$A$5,0))</f>
        <v>North DC</v>
      </c>
      <c r="F12" s="9" t="n">
        <f aca="false">Inventory!C6</f>
        <v>65</v>
      </c>
      <c r="G12" s="9" t="n">
        <f aca="false">Inventory!D6</f>
        <v>38</v>
      </c>
      <c r="H12" s="9" t="n">
        <f aca="false">Inventory!E6</f>
        <v>8</v>
      </c>
      <c r="I12" s="10" t="n">
        <f aca="false">MAX(0,G12-F12)</f>
        <v>0</v>
      </c>
      <c r="J12" s="9" t="str">
        <f aca="false">IF(F12&lt;=G12,"REORDER","OK")</f>
        <v>OK</v>
      </c>
    </row>
    <row r="13" customFormat="false" ht="15" hidden="false" customHeight="false" outlineLevel="0" collapsed="false">
      <c r="A13" s="9" t="str">
        <f aca="false">Inventory!A7</f>
        <v>P002</v>
      </c>
      <c r="B13" s="9" t="str">
        <f aca="false">INDEX(Products!$B$2:$B$26,MATCH(A13,Products!$A$2:$A$26,0))</f>
        <v>USB-C Hub</v>
      </c>
      <c r="C13" s="9" t="str">
        <f aca="false">INDEX(Products!$C$2:$C$26,MATCH(A13,Products!$A$2:$A$26,0))</f>
        <v>Home &amp; Kitchen</v>
      </c>
      <c r="D13" s="9" t="str">
        <f aca="false">Inventory!B7</f>
        <v>W2</v>
      </c>
      <c r="E13" s="9" t="str">
        <f aca="false">INDEX(Warehouses!$B$2:$B$5,MATCH(D13,Warehouses!$A$2:$A$5,0))</f>
        <v>South DC</v>
      </c>
      <c r="F13" s="9" t="n">
        <f aca="false">Inventory!C7</f>
        <v>47</v>
      </c>
      <c r="G13" s="9" t="n">
        <f aca="false">Inventory!D7</f>
        <v>67</v>
      </c>
      <c r="H13" s="9" t="n">
        <f aca="false">Inventory!E7</f>
        <v>10</v>
      </c>
      <c r="I13" s="10" t="n">
        <f aca="false">MAX(0,G13-F13)</f>
        <v>20</v>
      </c>
      <c r="J13" s="9" t="str">
        <f aca="false">IF(F13&lt;=G13,"REORDER","OK")</f>
        <v>REORDER</v>
      </c>
    </row>
    <row r="14" customFormat="false" ht="15" hidden="false" customHeight="false" outlineLevel="0" collapsed="false">
      <c r="A14" s="9" t="str">
        <f aca="false">Inventory!A8</f>
        <v>P002</v>
      </c>
      <c r="B14" s="9" t="str">
        <f aca="false">INDEX(Products!$B$2:$B$26,MATCH(A14,Products!$A$2:$A$26,0))</f>
        <v>USB-C Hub</v>
      </c>
      <c r="C14" s="9" t="str">
        <f aca="false">INDEX(Products!$C$2:$C$26,MATCH(A14,Products!$A$2:$A$26,0))</f>
        <v>Home &amp; Kitchen</v>
      </c>
      <c r="D14" s="9" t="str">
        <f aca="false">Inventory!B8</f>
        <v>W3</v>
      </c>
      <c r="E14" s="9" t="str">
        <f aca="false">INDEX(Warehouses!$B$2:$B$5,MATCH(D14,Warehouses!$A$2:$A$5,0))</f>
        <v>East DC</v>
      </c>
      <c r="F14" s="9" t="n">
        <f aca="false">Inventory!C8</f>
        <v>96</v>
      </c>
      <c r="G14" s="9" t="n">
        <f aca="false">Inventory!D8</f>
        <v>87</v>
      </c>
      <c r="H14" s="9" t="n">
        <f aca="false">Inventory!E8</f>
        <v>23</v>
      </c>
      <c r="I14" s="10" t="n">
        <f aca="false">MAX(0,G14-F14)</f>
        <v>0</v>
      </c>
      <c r="J14" s="9" t="str">
        <f aca="false">IF(F14&lt;=G14,"REORDER","OK")</f>
        <v>OK</v>
      </c>
    </row>
    <row r="15" customFormat="false" ht="15" hidden="false" customHeight="false" outlineLevel="0" collapsed="false">
      <c r="A15" s="9" t="str">
        <f aca="false">Inventory!A9</f>
        <v>P002</v>
      </c>
      <c r="B15" s="9" t="str">
        <f aca="false">INDEX(Products!$B$2:$B$26,MATCH(A15,Products!$A$2:$A$26,0))</f>
        <v>USB-C Hub</v>
      </c>
      <c r="C15" s="9" t="str">
        <f aca="false">INDEX(Products!$C$2:$C$26,MATCH(A15,Products!$A$2:$A$26,0))</f>
        <v>Home &amp; Kitchen</v>
      </c>
      <c r="D15" s="9" t="str">
        <f aca="false">Inventory!B9</f>
        <v>W4</v>
      </c>
      <c r="E15" s="9" t="str">
        <f aca="false">INDEX(Warehouses!$B$2:$B$5,MATCH(D15,Warehouses!$A$2:$A$5,0))</f>
        <v>West DC</v>
      </c>
      <c r="F15" s="9" t="n">
        <f aca="false">Inventory!C9</f>
        <v>168</v>
      </c>
      <c r="G15" s="9" t="n">
        <f aca="false">Inventory!D9</f>
        <v>142</v>
      </c>
      <c r="H15" s="9" t="n">
        <f aca="false">Inventory!E9</f>
        <v>31</v>
      </c>
      <c r="I15" s="10" t="n">
        <f aca="false">MAX(0,G15-F15)</f>
        <v>0</v>
      </c>
      <c r="J15" s="9" t="str">
        <f aca="false">IF(F15&lt;=G15,"REORDER","OK")</f>
        <v>OK</v>
      </c>
    </row>
    <row r="16" customFormat="false" ht="15" hidden="false" customHeight="false" outlineLevel="0" collapsed="false">
      <c r="A16" s="9" t="str">
        <f aca="false">Inventory!A10</f>
        <v>P003</v>
      </c>
      <c r="B16" s="9" t="str">
        <f aca="false">INDEX(Products!$B$2:$B$26,MATCH(A16,Products!$A$2:$A$26,0))</f>
        <v>Bluetooth Speaker</v>
      </c>
      <c r="C16" s="9" t="str">
        <f aca="false">INDEX(Products!$C$2:$C$26,MATCH(A16,Products!$A$2:$A$26,0))</f>
        <v>Office Supplies</v>
      </c>
      <c r="D16" s="9" t="str">
        <f aca="false">Inventory!B10</f>
        <v>W1</v>
      </c>
      <c r="E16" s="9" t="str">
        <f aca="false">INDEX(Warehouses!$B$2:$B$5,MATCH(D16,Warehouses!$A$2:$A$5,0))</f>
        <v>North DC</v>
      </c>
      <c r="F16" s="9" t="n">
        <f aca="false">Inventory!C10</f>
        <v>460</v>
      </c>
      <c r="G16" s="9" t="n">
        <f aca="false">Inventory!D10</f>
        <v>316</v>
      </c>
      <c r="H16" s="9" t="n">
        <f aca="false">Inventory!E10</f>
        <v>71</v>
      </c>
      <c r="I16" s="10" t="n">
        <f aca="false">MAX(0,G16-F16)</f>
        <v>0</v>
      </c>
      <c r="J16" s="9" t="str">
        <f aca="false">IF(F16&lt;=G16,"REORDER","OK")</f>
        <v>OK</v>
      </c>
    </row>
    <row r="17" customFormat="false" ht="15" hidden="false" customHeight="false" outlineLevel="0" collapsed="false">
      <c r="A17" s="9" t="str">
        <f aca="false">Inventory!A11</f>
        <v>P003</v>
      </c>
      <c r="B17" s="9" t="str">
        <f aca="false">INDEX(Products!$B$2:$B$26,MATCH(A17,Products!$A$2:$A$26,0))</f>
        <v>Bluetooth Speaker</v>
      </c>
      <c r="C17" s="9" t="str">
        <f aca="false">INDEX(Products!$C$2:$C$26,MATCH(A17,Products!$A$2:$A$26,0))</f>
        <v>Office Supplies</v>
      </c>
      <c r="D17" s="9" t="str">
        <f aca="false">Inventory!B11</f>
        <v>W2</v>
      </c>
      <c r="E17" s="9" t="str">
        <f aca="false">INDEX(Warehouses!$B$2:$B$5,MATCH(D17,Warehouses!$A$2:$A$5,0))</f>
        <v>South DC</v>
      </c>
      <c r="F17" s="9" t="n">
        <f aca="false">Inventory!C11</f>
        <v>132</v>
      </c>
      <c r="G17" s="9" t="n">
        <f aca="false">Inventory!D11</f>
        <v>48</v>
      </c>
      <c r="H17" s="9" t="n">
        <f aca="false">Inventory!E11</f>
        <v>11</v>
      </c>
      <c r="I17" s="10" t="n">
        <f aca="false">MAX(0,G17-F17)</f>
        <v>0</v>
      </c>
      <c r="J17" s="9" t="str">
        <f aca="false">IF(F17&lt;=G17,"REORDER","OK")</f>
        <v>OK</v>
      </c>
    </row>
    <row r="18" customFormat="false" ht="15" hidden="false" customHeight="false" outlineLevel="0" collapsed="false">
      <c r="A18" s="9" t="str">
        <f aca="false">Inventory!A12</f>
        <v>P003</v>
      </c>
      <c r="B18" s="9" t="str">
        <f aca="false">INDEX(Products!$B$2:$B$26,MATCH(A18,Products!$A$2:$A$26,0))</f>
        <v>Bluetooth Speaker</v>
      </c>
      <c r="C18" s="9" t="str">
        <f aca="false">INDEX(Products!$C$2:$C$26,MATCH(A18,Products!$A$2:$A$26,0))</f>
        <v>Office Supplies</v>
      </c>
      <c r="D18" s="9" t="str">
        <f aca="false">Inventory!B12</f>
        <v>W3</v>
      </c>
      <c r="E18" s="9" t="str">
        <f aca="false">INDEX(Warehouses!$B$2:$B$5,MATCH(D18,Warehouses!$A$2:$A$5,0))</f>
        <v>East DC</v>
      </c>
      <c r="F18" s="9" t="n">
        <f aca="false">Inventory!C12</f>
        <v>73</v>
      </c>
      <c r="G18" s="9" t="n">
        <f aca="false">Inventory!D12</f>
        <v>315</v>
      </c>
      <c r="H18" s="9" t="n">
        <f aca="false">Inventory!E12</f>
        <v>75</v>
      </c>
      <c r="I18" s="10" t="n">
        <f aca="false">MAX(0,G18-F18)</f>
        <v>242</v>
      </c>
      <c r="J18" s="9" t="str">
        <f aca="false">IF(F18&lt;=G18,"REORDER","OK")</f>
        <v>REORDER</v>
      </c>
    </row>
    <row r="19" customFormat="false" ht="15" hidden="false" customHeight="false" outlineLevel="0" collapsed="false">
      <c r="A19" s="9" t="str">
        <f aca="false">Inventory!A13</f>
        <v>P003</v>
      </c>
      <c r="B19" s="9" t="str">
        <f aca="false">INDEX(Products!$B$2:$B$26,MATCH(A19,Products!$A$2:$A$26,0))</f>
        <v>Bluetooth Speaker</v>
      </c>
      <c r="C19" s="9" t="str">
        <f aca="false">INDEX(Products!$C$2:$C$26,MATCH(A19,Products!$A$2:$A$26,0))</f>
        <v>Office Supplies</v>
      </c>
      <c r="D19" s="9" t="str">
        <f aca="false">Inventory!B13</f>
        <v>W4</v>
      </c>
      <c r="E19" s="9" t="str">
        <f aca="false">INDEX(Warehouses!$B$2:$B$5,MATCH(D19,Warehouses!$A$2:$A$5,0))</f>
        <v>West DC</v>
      </c>
      <c r="F19" s="9" t="n">
        <f aca="false">Inventory!C13</f>
        <v>110</v>
      </c>
      <c r="G19" s="9" t="n">
        <f aca="false">Inventory!D13</f>
        <v>101</v>
      </c>
      <c r="H19" s="9" t="n">
        <f aca="false">Inventory!E13</f>
        <v>20</v>
      </c>
      <c r="I19" s="10" t="n">
        <f aca="false">MAX(0,G19-F19)</f>
        <v>0</v>
      </c>
      <c r="J19" s="9" t="str">
        <f aca="false">IF(F19&lt;=G19,"REORDER","OK")</f>
        <v>OK</v>
      </c>
    </row>
    <row r="20" customFormat="false" ht="15" hidden="false" customHeight="false" outlineLevel="0" collapsed="false">
      <c r="A20" s="9" t="str">
        <f aca="false">Inventory!A14</f>
        <v>P004</v>
      </c>
      <c r="B20" s="9" t="str">
        <f aca="false">INDEX(Products!$B$2:$B$26,MATCH(A20,Products!$A$2:$A$26,0))</f>
        <v>LED Desk Lamp</v>
      </c>
      <c r="C20" s="9" t="str">
        <f aca="false">INDEX(Products!$C$2:$C$26,MATCH(A20,Products!$A$2:$A$26,0))</f>
        <v>Apparel</v>
      </c>
      <c r="D20" s="9" t="str">
        <f aca="false">Inventory!B14</f>
        <v>W1</v>
      </c>
      <c r="E20" s="9" t="str">
        <f aca="false">INDEX(Warehouses!$B$2:$B$5,MATCH(D20,Warehouses!$A$2:$A$5,0))</f>
        <v>North DC</v>
      </c>
      <c r="F20" s="9" t="n">
        <f aca="false">Inventory!C14</f>
        <v>289</v>
      </c>
      <c r="G20" s="9" t="n">
        <f aca="false">Inventory!D14</f>
        <v>158</v>
      </c>
      <c r="H20" s="9" t="n">
        <f aca="false">Inventory!E14</f>
        <v>22</v>
      </c>
      <c r="I20" s="10" t="n">
        <f aca="false">MAX(0,G20-F20)</f>
        <v>0</v>
      </c>
      <c r="J20" s="9" t="str">
        <f aca="false">IF(F20&lt;=G20,"REORDER","OK")</f>
        <v>OK</v>
      </c>
    </row>
    <row r="21" customFormat="false" ht="15" hidden="false" customHeight="false" outlineLevel="0" collapsed="false">
      <c r="A21" s="9" t="str">
        <f aca="false">Inventory!A15</f>
        <v>P004</v>
      </c>
      <c r="B21" s="9" t="str">
        <f aca="false">INDEX(Products!$B$2:$B$26,MATCH(A21,Products!$A$2:$A$26,0))</f>
        <v>LED Desk Lamp</v>
      </c>
      <c r="C21" s="9" t="str">
        <f aca="false">INDEX(Products!$C$2:$C$26,MATCH(A21,Products!$A$2:$A$26,0))</f>
        <v>Apparel</v>
      </c>
      <c r="D21" s="9" t="str">
        <f aca="false">Inventory!B15</f>
        <v>W2</v>
      </c>
      <c r="E21" s="9" t="str">
        <f aca="false">INDEX(Warehouses!$B$2:$B$5,MATCH(D21,Warehouses!$A$2:$A$5,0))</f>
        <v>South DC</v>
      </c>
      <c r="F21" s="9" t="n">
        <f aca="false">Inventory!C15</f>
        <v>238</v>
      </c>
      <c r="G21" s="9" t="n">
        <f aca="false">Inventory!D15</f>
        <v>305</v>
      </c>
      <c r="H21" s="9" t="n">
        <f aca="false">Inventory!E15</f>
        <v>48</v>
      </c>
      <c r="I21" s="10" t="n">
        <f aca="false">MAX(0,G21-F21)</f>
        <v>67</v>
      </c>
      <c r="J21" s="9" t="str">
        <f aca="false">IF(F21&lt;=G21,"REORDER","OK")</f>
        <v>REORDER</v>
      </c>
    </row>
    <row r="22" customFormat="false" ht="15" hidden="false" customHeight="false" outlineLevel="0" collapsed="false">
      <c r="A22" s="9" t="str">
        <f aca="false">Inventory!A16</f>
        <v>P004</v>
      </c>
      <c r="B22" s="9" t="str">
        <f aca="false">INDEX(Products!$B$2:$B$26,MATCH(A22,Products!$A$2:$A$26,0))</f>
        <v>LED Desk Lamp</v>
      </c>
      <c r="C22" s="9" t="str">
        <f aca="false">INDEX(Products!$C$2:$C$26,MATCH(A22,Products!$A$2:$A$26,0))</f>
        <v>Apparel</v>
      </c>
      <c r="D22" s="9" t="str">
        <f aca="false">Inventory!B16</f>
        <v>W3</v>
      </c>
      <c r="E22" s="9" t="str">
        <f aca="false">INDEX(Warehouses!$B$2:$B$5,MATCH(D22,Warehouses!$A$2:$A$5,0))</f>
        <v>East DC</v>
      </c>
      <c r="F22" s="9" t="n">
        <f aca="false">Inventory!C16</f>
        <v>78</v>
      </c>
      <c r="G22" s="9" t="n">
        <f aca="false">Inventory!D16</f>
        <v>62</v>
      </c>
      <c r="H22" s="9" t="n">
        <f aca="false">Inventory!E16</f>
        <v>14</v>
      </c>
      <c r="I22" s="10" t="n">
        <f aca="false">MAX(0,G22-F22)</f>
        <v>0</v>
      </c>
      <c r="J22" s="9" t="str">
        <f aca="false">IF(F22&lt;=G22,"REORDER","OK")</f>
        <v>OK</v>
      </c>
    </row>
    <row r="23" customFormat="false" ht="15" hidden="false" customHeight="false" outlineLevel="0" collapsed="false">
      <c r="A23" s="9" t="str">
        <f aca="false">Inventory!A17</f>
        <v>P004</v>
      </c>
      <c r="B23" s="9" t="str">
        <f aca="false">INDEX(Products!$B$2:$B$26,MATCH(A23,Products!$A$2:$A$26,0))</f>
        <v>LED Desk Lamp</v>
      </c>
      <c r="C23" s="9" t="str">
        <f aca="false">INDEX(Products!$C$2:$C$26,MATCH(A23,Products!$A$2:$A$26,0))</f>
        <v>Apparel</v>
      </c>
      <c r="D23" s="9" t="str">
        <f aca="false">Inventory!B17</f>
        <v>W4</v>
      </c>
      <c r="E23" s="9" t="str">
        <f aca="false">INDEX(Warehouses!$B$2:$B$5,MATCH(D23,Warehouses!$A$2:$A$5,0))</f>
        <v>West DC</v>
      </c>
      <c r="F23" s="9" t="n">
        <f aca="false">Inventory!C17</f>
        <v>501</v>
      </c>
      <c r="G23" s="9" t="n">
        <f aca="false">Inventory!D17</f>
        <v>280</v>
      </c>
      <c r="H23" s="9" t="n">
        <f aca="false">Inventory!E17</f>
        <v>68</v>
      </c>
      <c r="I23" s="10" t="n">
        <f aca="false">MAX(0,G23-F23)</f>
        <v>0</v>
      </c>
      <c r="J23" s="9" t="str">
        <f aca="false">IF(F23&lt;=G23,"REORDER","OK")</f>
        <v>OK</v>
      </c>
    </row>
    <row r="24" customFormat="false" ht="15" hidden="false" customHeight="false" outlineLevel="0" collapsed="false">
      <c r="A24" s="9" t="str">
        <f aca="false">Inventory!A18</f>
        <v>P005</v>
      </c>
      <c r="B24" s="9" t="str">
        <f aca="false">INDEX(Products!$B$2:$B$26,MATCH(A24,Products!$A$2:$A$26,0))</f>
        <v>Noise-Cancel Headphones</v>
      </c>
      <c r="C24" s="9" t="str">
        <f aca="false">INDEX(Products!$C$2:$C$26,MATCH(A24,Products!$A$2:$A$26,0))</f>
        <v>Tools</v>
      </c>
      <c r="D24" s="9" t="str">
        <f aca="false">Inventory!B18</f>
        <v>W1</v>
      </c>
      <c r="E24" s="9" t="str">
        <f aca="false">INDEX(Warehouses!$B$2:$B$5,MATCH(D24,Warehouses!$A$2:$A$5,0))</f>
        <v>North DC</v>
      </c>
      <c r="F24" s="9" t="n">
        <f aca="false">Inventory!C18</f>
        <v>224</v>
      </c>
      <c r="G24" s="9" t="n">
        <f aca="false">Inventory!D18</f>
        <v>275</v>
      </c>
      <c r="H24" s="9" t="n">
        <f aca="false">Inventory!E18</f>
        <v>54</v>
      </c>
      <c r="I24" s="10" t="n">
        <f aca="false">MAX(0,G24-F24)</f>
        <v>51</v>
      </c>
      <c r="J24" s="9" t="str">
        <f aca="false">IF(F24&lt;=G24,"REORDER","OK")</f>
        <v>REORDER</v>
      </c>
    </row>
    <row r="25" customFormat="false" ht="15" hidden="false" customHeight="false" outlineLevel="0" collapsed="false">
      <c r="A25" s="9" t="str">
        <f aca="false">Inventory!A19</f>
        <v>P005</v>
      </c>
      <c r="B25" s="9" t="str">
        <f aca="false">INDEX(Products!$B$2:$B$26,MATCH(A25,Products!$A$2:$A$26,0))</f>
        <v>Noise-Cancel Headphones</v>
      </c>
      <c r="C25" s="9" t="str">
        <f aca="false">INDEX(Products!$C$2:$C$26,MATCH(A25,Products!$A$2:$A$26,0))</f>
        <v>Tools</v>
      </c>
      <c r="D25" s="9" t="str">
        <f aca="false">Inventory!B19</f>
        <v>W2</v>
      </c>
      <c r="E25" s="9" t="str">
        <f aca="false">INDEX(Warehouses!$B$2:$B$5,MATCH(D25,Warehouses!$A$2:$A$5,0))</f>
        <v>South DC</v>
      </c>
      <c r="F25" s="9" t="n">
        <f aca="false">Inventory!C19</f>
        <v>159</v>
      </c>
      <c r="G25" s="9" t="n">
        <f aca="false">Inventory!D19</f>
        <v>179</v>
      </c>
      <c r="H25" s="9" t="n">
        <f aca="false">Inventory!E19</f>
        <v>39</v>
      </c>
      <c r="I25" s="10" t="n">
        <f aca="false">MAX(0,G25-F25)</f>
        <v>20</v>
      </c>
      <c r="J25" s="9" t="str">
        <f aca="false">IF(F25&lt;=G25,"REORDER","OK")</f>
        <v>REORDER</v>
      </c>
    </row>
    <row r="26" customFormat="false" ht="15" hidden="false" customHeight="false" outlineLevel="0" collapsed="false">
      <c r="A26" s="9" t="str">
        <f aca="false">Inventory!A20</f>
        <v>P005</v>
      </c>
      <c r="B26" s="9" t="str">
        <f aca="false">INDEX(Products!$B$2:$B$26,MATCH(A26,Products!$A$2:$A$26,0))</f>
        <v>Noise-Cancel Headphones</v>
      </c>
      <c r="C26" s="9" t="str">
        <f aca="false">INDEX(Products!$C$2:$C$26,MATCH(A26,Products!$A$2:$A$26,0))</f>
        <v>Tools</v>
      </c>
      <c r="D26" s="9" t="str">
        <f aca="false">Inventory!B20</f>
        <v>W3</v>
      </c>
      <c r="E26" s="9" t="str">
        <f aca="false">INDEX(Warehouses!$B$2:$B$5,MATCH(D26,Warehouses!$A$2:$A$5,0))</f>
        <v>East DC</v>
      </c>
      <c r="F26" s="9" t="n">
        <f aca="false">Inventory!C20</f>
        <v>441</v>
      </c>
      <c r="G26" s="9" t="n">
        <f aca="false">Inventory!D20</f>
        <v>250</v>
      </c>
      <c r="H26" s="9" t="n">
        <f aca="false">Inventory!E20</f>
        <v>53</v>
      </c>
      <c r="I26" s="10" t="n">
        <f aca="false">MAX(0,G26-F26)</f>
        <v>0</v>
      </c>
      <c r="J26" s="9" t="str">
        <f aca="false">IF(F26&lt;=G26,"REORDER","OK")</f>
        <v>OK</v>
      </c>
    </row>
    <row r="27" customFormat="false" ht="15" hidden="false" customHeight="false" outlineLevel="0" collapsed="false">
      <c r="A27" s="9" t="str">
        <f aca="false">Inventory!A21</f>
        <v>P005</v>
      </c>
      <c r="B27" s="9" t="str">
        <f aca="false">INDEX(Products!$B$2:$B$26,MATCH(A27,Products!$A$2:$A$26,0))</f>
        <v>Noise-Cancel Headphones</v>
      </c>
      <c r="C27" s="9" t="str">
        <f aca="false">INDEX(Products!$C$2:$C$26,MATCH(A27,Products!$A$2:$A$26,0))</f>
        <v>Tools</v>
      </c>
      <c r="D27" s="9" t="str">
        <f aca="false">Inventory!B21</f>
        <v>W4</v>
      </c>
      <c r="E27" s="9" t="str">
        <f aca="false">INDEX(Warehouses!$B$2:$B$5,MATCH(D27,Warehouses!$A$2:$A$5,0))</f>
        <v>West DC</v>
      </c>
      <c r="F27" s="9" t="n">
        <f aca="false">Inventory!C21</f>
        <v>136</v>
      </c>
      <c r="G27" s="9" t="n">
        <f aca="false">Inventory!D21</f>
        <v>107</v>
      </c>
      <c r="H27" s="9" t="n">
        <f aca="false">Inventory!E21</f>
        <v>26</v>
      </c>
      <c r="I27" s="10" t="n">
        <f aca="false">MAX(0,G27-F27)</f>
        <v>0</v>
      </c>
      <c r="J27" s="9" t="str">
        <f aca="false">IF(F27&lt;=G27,"REORDER","OK")</f>
        <v>OK</v>
      </c>
    </row>
    <row r="28" customFormat="false" ht="15" hidden="false" customHeight="false" outlineLevel="0" collapsed="false">
      <c r="A28" s="9" t="str">
        <f aca="false">Inventory!A22</f>
        <v>P006</v>
      </c>
      <c r="B28" s="9" t="str">
        <f aca="false">INDEX(Products!$B$2:$B$26,MATCH(A28,Products!$A$2:$A$26,0))</f>
        <v>Stainless Steel Water Bottle</v>
      </c>
      <c r="C28" s="9" t="str">
        <f aca="false">INDEX(Products!$C$2:$C$26,MATCH(A28,Products!$A$2:$A$26,0))</f>
        <v>Electronics</v>
      </c>
      <c r="D28" s="9" t="str">
        <f aca="false">Inventory!B22</f>
        <v>W1</v>
      </c>
      <c r="E28" s="9" t="str">
        <f aca="false">INDEX(Warehouses!$B$2:$B$5,MATCH(D28,Warehouses!$A$2:$A$5,0))</f>
        <v>North DC</v>
      </c>
      <c r="F28" s="9" t="n">
        <f aca="false">Inventory!C22</f>
        <v>313</v>
      </c>
      <c r="G28" s="9" t="n">
        <f aca="false">Inventory!D22</f>
        <v>292</v>
      </c>
      <c r="H28" s="9" t="n">
        <f aca="false">Inventory!E22</f>
        <v>52</v>
      </c>
      <c r="I28" s="10" t="n">
        <f aca="false">MAX(0,G28-F28)</f>
        <v>0</v>
      </c>
      <c r="J28" s="9" t="str">
        <f aca="false">IF(F28&lt;=G28,"REORDER","OK")</f>
        <v>OK</v>
      </c>
    </row>
    <row r="29" customFormat="false" ht="15" hidden="false" customHeight="false" outlineLevel="0" collapsed="false">
      <c r="A29" s="9" t="str">
        <f aca="false">Inventory!A23</f>
        <v>P006</v>
      </c>
      <c r="B29" s="9" t="str">
        <f aca="false">INDEX(Products!$B$2:$B$26,MATCH(A29,Products!$A$2:$A$26,0))</f>
        <v>Stainless Steel Water Bottle</v>
      </c>
      <c r="C29" s="9" t="str">
        <f aca="false">INDEX(Products!$C$2:$C$26,MATCH(A29,Products!$A$2:$A$26,0))</f>
        <v>Electronics</v>
      </c>
      <c r="D29" s="9" t="str">
        <f aca="false">Inventory!B23</f>
        <v>W2</v>
      </c>
      <c r="E29" s="9" t="str">
        <f aca="false">INDEX(Warehouses!$B$2:$B$5,MATCH(D29,Warehouses!$A$2:$A$5,0))</f>
        <v>South DC</v>
      </c>
      <c r="F29" s="9" t="n">
        <f aca="false">Inventory!C23</f>
        <v>235</v>
      </c>
      <c r="G29" s="9" t="n">
        <f aca="false">Inventory!D23</f>
        <v>170</v>
      </c>
      <c r="H29" s="9" t="n">
        <f aca="false">Inventory!E23</f>
        <v>49</v>
      </c>
      <c r="I29" s="10" t="n">
        <f aca="false">MAX(0,G29-F29)</f>
        <v>0</v>
      </c>
      <c r="J29" s="9" t="str">
        <f aca="false">IF(F29&lt;=G29,"REORDER","OK")</f>
        <v>OK</v>
      </c>
    </row>
    <row r="30" customFormat="false" ht="15" hidden="false" customHeight="false" outlineLevel="0" collapsed="false">
      <c r="A30" s="9" t="str">
        <f aca="false">Inventory!A24</f>
        <v>P006</v>
      </c>
      <c r="B30" s="9" t="str">
        <f aca="false">INDEX(Products!$B$2:$B$26,MATCH(A30,Products!$A$2:$A$26,0))</f>
        <v>Stainless Steel Water Bottle</v>
      </c>
      <c r="C30" s="9" t="str">
        <f aca="false">INDEX(Products!$C$2:$C$26,MATCH(A30,Products!$A$2:$A$26,0))</f>
        <v>Electronics</v>
      </c>
      <c r="D30" s="9" t="str">
        <f aca="false">Inventory!B24</f>
        <v>W3</v>
      </c>
      <c r="E30" s="9" t="str">
        <f aca="false">INDEX(Warehouses!$B$2:$B$5,MATCH(D30,Warehouses!$A$2:$A$5,0))</f>
        <v>East DC</v>
      </c>
      <c r="F30" s="9" t="n">
        <f aca="false">Inventory!C24</f>
        <v>334</v>
      </c>
      <c r="G30" s="9" t="n">
        <f aca="false">Inventory!D24</f>
        <v>270</v>
      </c>
      <c r="H30" s="9" t="n">
        <f aca="false">Inventory!E24</f>
        <v>75</v>
      </c>
      <c r="I30" s="10" t="n">
        <f aca="false">MAX(0,G30-F30)</f>
        <v>0</v>
      </c>
      <c r="J30" s="9" t="str">
        <f aca="false">IF(F30&lt;=G30,"REORDER","OK")</f>
        <v>OK</v>
      </c>
    </row>
    <row r="31" customFormat="false" ht="15" hidden="false" customHeight="false" outlineLevel="0" collapsed="false">
      <c r="A31" s="9" t="str">
        <f aca="false">Inventory!A25</f>
        <v>P006</v>
      </c>
      <c r="B31" s="9" t="str">
        <f aca="false">INDEX(Products!$B$2:$B$26,MATCH(A31,Products!$A$2:$A$26,0))</f>
        <v>Stainless Steel Water Bottle</v>
      </c>
      <c r="C31" s="9" t="str">
        <f aca="false">INDEX(Products!$C$2:$C$26,MATCH(A31,Products!$A$2:$A$26,0))</f>
        <v>Electronics</v>
      </c>
      <c r="D31" s="9" t="str">
        <f aca="false">Inventory!B25</f>
        <v>W4</v>
      </c>
      <c r="E31" s="9" t="str">
        <f aca="false">INDEX(Warehouses!$B$2:$B$5,MATCH(D31,Warehouses!$A$2:$A$5,0))</f>
        <v>West DC</v>
      </c>
      <c r="F31" s="9" t="n">
        <f aca="false">Inventory!C25</f>
        <v>246</v>
      </c>
      <c r="G31" s="9" t="n">
        <f aca="false">Inventory!D25</f>
        <v>175</v>
      </c>
      <c r="H31" s="9" t="n">
        <f aca="false">Inventory!E25</f>
        <v>35</v>
      </c>
      <c r="I31" s="10" t="n">
        <f aca="false">MAX(0,G31-F31)</f>
        <v>0</v>
      </c>
      <c r="J31" s="9" t="str">
        <f aca="false">IF(F31&lt;=G31,"REORDER","OK")</f>
        <v>OK</v>
      </c>
    </row>
    <row r="32" customFormat="false" ht="15" hidden="false" customHeight="false" outlineLevel="0" collapsed="false">
      <c r="A32" s="9" t="str">
        <f aca="false">Inventory!A26</f>
        <v>P007</v>
      </c>
      <c r="B32" s="9" t="str">
        <f aca="false">INDEX(Products!$B$2:$B$26,MATCH(A32,Products!$A$2:$A$26,0))</f>
        <v>Non-Stick Frying Pan</v>
      </c>
      <c r="C32" s="9" t="str">
        <f aca="false">INDEX(Products!$C$2:$C$26,MATCH(A32,Products!$A$2:$A$26,0))</f>
        <v>Home &amp; Kitchen</v>
      </c>
      <c r="D32" s="9" t="str">
        <f aca="false">Inventory!B26</f>
        <v>W1</v>
      </c>
      <c r="E32" s="9" t="str">
        <f aca="false">INDEX(Warehouses!$B$2:$B$5,MATCH(D32,Warehouses!$A$2:$A$5,0))</f>
        <v>North DC</v>
      </c>
      <c r="F32" s="9" t="n">
        <f aca="false">Inventory!C26</f>
        <v>349</v>
      </c>
      <c r="G32" s="9" t="n">
        <f aca="false">Inventory!D26</f>
        <v>231</v>
      </c>
      <c r="H32" s="9" t="n">
        <f aca="false">Inventory!E26</f>
        <v>46</v>
      </c>
      <c r="I32" s="10" t="n">
        <f aca="false">MAX(0,G32-F32)</f>
        <v>0</v>
      </c>
      <c r="J32" s="9" t="str">
        <f aca="false">IF(F32&lt;=G32,"REORDER","OK")</f>
        <v>OK</v>
      </c>
    </row>
    <row r="33" customFormat="false" ht="15" hidden="false" customHeight="false" outlineLevel="0" collapsed="false">
      <c r="A33" s="9" t="str">
        <f aca="false">Inventory!A27</f>
        <v>P007</v>
      </c>
      <c r="B33" s="9" t="str">
        <f aca="false">INDEX(Products!$B$2:$B$26,MATCH(A33,Products!$A$2:$A$26,0))</f>
        <v>Non-Stick Frying Pan</v>
      </c>
      <c r="C33" s="9" t="str">
        <f aca="false">INDEX(Products!$C$2:$C$26,MATCH(A33,Products!$A$2:$A$26,0))</f>
        <v>Home &amp; Kitchen</v>
      </c>
      <c r="D33" s="9" t="str">
        <f aca="false">Inventory!B27</f>
        <v>W2</v>
      </c>
      <c r="E33" s="9" t="str">
        <f aca="false">INDEX(Warehouses!$B$2:$B$5,MATCH(D33,Warehouses!$A$2:$A$5,0))</f>
        <v>South DC</v>
      </c>
      <c r="F33" s="9" t="n">
        <f aca="false">Inventory!C27</f>
        <v>173</v>
      </c>
      <c r="G33" s="9" t="n">
        <f aca="false">Inventory!D27</f>
        <v>252</v>
      </c>
      <c r="H33" s="9" t="n">
        <f aca="false">Inventory!E27</f>
        <v>46</v>
      </c>
      <c r="I33" s="10" t="n">
        <f aca="false">MAX(0,G33-F33)</f>
        <v>79</v>
      </c>
      <c r="J33" s="9" t="str">
        <f aca="false">IF(F33&lt;=G33,"REORDER","OK")</f>
        <v>REORDER</v>
      </c>
    </row>
    <row r="34" customFormat="false" ht="15" hidden="false" customHeight="false" outlineLevel="0" collapsed="false">
      <c r="A34" s="9" t="str">
        <f aca="false">Inventory!A28</f>
        <v>P007</v>
      </c>
      <c r="B34" s="9" t="str">
        <f aca="false">INDEX(Products!$B$2:$B$26,MATCH(A34,Products!$A$2:$A$26,0))</f>
        <v>Non-Stick Frying Pan</v>
      </c>
      <c r="C34" s="9" t="str">
        <f aca="false">INDEX(Products!$C$2:$C$26,MATCH(A34,Products!$A$2:$A$26,0))</f>
        <v>Home &amp; Kitchen</v>
      </c>
      <c r="D34" s="9" t="str">
        <f aca="false">Inventory!B28</f>
        <v>W3</v>
      </c>
      <c r="E34" s="9" t="str">
        <f aca="false">INDEX(Warehouses!$B$2:$B$5,MATCH(D34,Warehouses!$A$2:$A$5,0))</f>
        <v>East DC</v>
      </c>
      <c r="F34" s="9" t="n">
        <f aca="false">Inventory!C28</f>
        <v>203</v>
      </c>
      <c r="G34" s="9" t="n">
        <f aca="false">Inventory!D28</f>
        <v>94</v>
      </c>
      <c r="H34" s="9" t="n">
        <f aca="false">Inventory!E28</f>
        <v>15</v>
      </c>
      <c r="I34" s="10" t="n">
        <f aca="false">MAX(0,G34-F34)</f>
        <v>0</v>
      </c>
      <c r="J34" s="9" t="str">
        <f aca="false">IF(F34&lt;=G34,"REORDER","OK")</f>
        <v>OK</v>
      </c>
    </row>
    <row r="35" customFormat="false" ht="15" hidden="false" customHeight="false" outlineLevel="0" collapsed="false">
      <c r="A35" s="9" t="str">
        <f aca="false">Inventory!A29</f>
        <v>P007</v>
      </c>
      <c r="B35" s="9" t="str">
        <f aca="false">INDEX(Products!$B$2:$B$26,MATCH(A35,Products!$A$2:$A$26,0))</f>
        <v>Non-Stick Frying Pan</v>
      </c>
      <c r="C35" s="9" t="str">
        <f aca="false">INDEX(Products!$C$2:$C$26,MATCH(A35,Products!$A$2:$A$26,0))</f>
        <v>Home &amp; Kitchen</v>
      </c>
      <c r="D35" s="9" t="str">
        <f aca="false">Inventory!B29</f>
        <v>W4</v>
      </c>
      <c r="E35" s="9" t="str">
        <f aca="false">INDEX(Warehouses!$B$2:$B$5,MATCH(D35,Warehouses!$A$2:$A$5,0))</f>
        <v>West DC</v>
      </c>
      <c r="F35" s="9" t="n">
        <f aca="false">Inventory!C29</f>
        <v>140</v>
      </c>
      <c r="G35" s="9" t="n">
        <f aca="false">Inventory!D29</f>
        <v>69</v>
      </c>
      <c r="H35" s="9" t="n">
        <f aca="false">Inventory!E29</f>
        <v>12</v>
      </c>
      <c r="I35" s="10" t="n">
        <f aca="false">MAX(0,G35-F35)</f>
        <v>0</v>
      </c>
      <c r="J35" s="9" t="str">
        <f aca="false">IF(F35&lt;=G35,"REORDER","OK")</f>
        <v>OK</v>
      </c>
    </row>
    <row r="36" customFormat="false" ht="15" hidden="false" customHeight="false" outlineLevel="0" collapsed="false">
      <c r="A36" s="9" t="str">
        <f aca="false">Inventory!A30</f>
        <v>P008</v>
      </c>
      <c r="B36" s="9" t="str">
        <f aca="false">INDEX(Products!$B$2:$B$26,MATCH(A36,Products!$A$2:$A$26,0))</f>
        <v>Ceramic Mug Set</v>
      </c>
      <c r="C36" s="9" t="str">
        <f aca="false">INDEX(Products!$C$2:$C$26,MATCH(A36,Products!$A$2:$A$26,0))</f>
        <v>Office Supplies</v>
      </c>
      <c r="D36" s="9" t="str">
        <f aca="false">Inventory!B30</f>
        <v>W1</v>
      </c>
      <c r="E36" s="9" t="str">
        <f aca="false">INDEX(Warehouses!$B$2:$B$5,MATCH(D36,Warehouses!$A$2:$A$5,0))</f>
        <v>North DC</v>
      </c>
      <c r="F36" s="9" t="n">
        <f aca="false">Inventory!C30</f>
        <v>212</v>
      </c>
      <c r="G36" s="9" t="n">
        <f aca="false">Inventory!D30</f>
        <v>249</v>
      </c>
      <c r="H36" s="9" t="n">
        <f aca="false">Inventory!E30</f>
        <v>50</v>
      </c>
      <c r="I36" s="10" t="n">
        <f aca="false">MAX(0,G36-F36)</f>
        <v>37</v>
      </c>
      <c r="J36" s="9" t="str">
        <f aca="false">IF(F36&lt;=G36,"REORDER","OK")</f>
        <v>REORDER</v>
      </c>
    </row>
    <row r="37" customFormat="false" ht="15" hidden="false" customHeight="false" outlineLevel="0" collapsed="false">
      <c r="A37" s="9" t="str">
        <f aca="false">Inventory!A31</f>
        <v>P008</v>
      </c>
      <c r="B37" s="9" t="str">
        <f aca="false">INDEX(Products!$B$2:$B$26,MATCH(A37,Products!$A$2:$A$26,0))</f>
        <v>Ceramic Mug Set</v>
      </c>
      <c r="C37" s="9" t="str">
        <f aca="false">INDEX(Products!$C$2:$C$26,MATCH(A37,Products!$A$2:$A$26,0))</f>
        <v>Office Supplies</v>
      </c>
      <c r="D37" s="9" t="str">
        <f aca="false">Inventory!B31</f>
        <v>W2</v>
      </c>
      <c r="E37" s="9" t="str">
        <f aca="false">INDEX(Warehouses!$B$2:$B$5,MATCH(D37,Warehouses!$A$2:$A$5,0))</f>
        <v>South DC</v>
      </c>
      <c r="F37" s="9" t="n">
        <f aca="false">Inventory!C31</f>
        <v>337</v>
      </c>
      <c r="G37" s="9" t="n">
        <f aca="false">Inventory!D31</f>
        <v>260</v>
      </c>
      <c r="H37" s="9" t="n">
        <f aca="false">Inventory!E31</f>
        <v>82</v>
      </c>
      <c r="I37" s="10" t="n">
        <f aca="false">MAX(0,G37-F37)</f>
        <v>0</v>
      </c>
      <c r="J37" s="9" t="str">
        <f aca="false">IF(F37&lt;=G37,"REORDER","OK")</f>
        <v>OK</v>
      </c>
    </row>
    <row r="38" customFormat="false" ht="15" hidden="false" customHeight="false" outlineLevel="0" collapsed="false">
      <c r="A38" s="9" t="str">
        <f aca="false">Inventory!A32</f>
        <v>P008</v>
      </c>
      <c r="B38" s="9" t="str">
        <f aca="false">INDEX(Products!$B$2:$B$26,MATCH(A38,Products!$A$2:$A$26,0))</f>
        <v>Ceramic Mug Set</v>
      </c>
      <c r="C38" s="9" t="str">
        <f aca="false">INDEX(Products!$C$2:$C$26,MATCH(A38,Products!$A$2:$A$26,0))</f>
        <v>Office Supplies</v>
      </c>
      <c r="D38" s="9" t="str">
        <f aca="false">Inventory!B32</f>
        <v>W3</v>
      </c>
      <c r="E38" s="9" t="str">
        <f aca="false">INDEX(Warehouses!$B$2:$B$5,MATCH(D38,Warehouses!$A$2:$A$5,0))</f>
        <v>East DC</v>
      </c>
      <c r="F38" s="9" t="n">
        <f aca="false">Inventory!C32</f>
        <v>108</v>
      </c>
      <c r="G38" s="9" t="n">
        <f aca="false">Inventory!D32</f>
        <v>54</v>
      </c>
      <c r="H38" s="9" t="n">
        <f aca="false">Inventory!E32</f>
        <v>9</v>
      </c>
      <c r="I38" s="10" t="n">
        <f aca="false">MAX(0,G38-F38)</f>
        <v>0</v>
      </c>
      <c r="J38" s="9" t="str">
        <f aca="false">IF(F38&lt;=G38,"REORDER","OK")</f>
        <v>OK</v>
      </c>
    </row>
    <row r="39" customFormat="false" ht="15" hidden="false" customHeight="false" outlineLevel="0" collapsed="false">
      <c r="A39" s="9" t="str">
        <f aca="false">Inventory!A33</f>
        <v>P008</v>
      </c>
      <c r="B39" s="9" t="str">
        <f aca="false">INDEX(Products!$B$2:$B$26,MATCH(A39,Products!$A$2:$A$26,0))</f>
        <v>Ceramic Mug Set</v>
      </c>
      <c r="C39" s="9" t="str">
        <f aca="false">INDEX(Products!$C$2:$C$26,MATCH(A39,Products!$A$2:$A$26,0))</f>
        <v>Office Supplies</v>
      </c>
      <c r="D39" s="9" t="str">
        <f aca="false">Inventory!B33</f>
        <v>W4</v>
      </c>
      <c r="E39" s="9" t="str">
        <f aca="false">INDEX(Warehouses!$B$2:$B$5,MATCH(D39,Warehouses!$A$2:$A$5,0))</f>
        <v>West DC</v>
      </c>
      <c r="F39" s="9" t="n">
        <f aca="false">Inventory!C33</f>
        <v>16</v>
      </c>
      <c r="G39" s="9" t="n">
        <f aca="false">Inventory!D33</f>
        <v>59</v>
      </c>
      <c r="H39" s="9" t="n">
        <f aca="false">Inventory!E33</f>
        <v>16</v>
      </c>
      <c r="I39" s="10" t="n">
        <f aca="false">MAX(0,G39-F39)</f>
        <v>43</v>
      </c>
      <c r="J39" s="9" t="str">
        <f aca="false">IF(F39&lt;=G39,"REORDER","OK")</f>
        <v>REORDER</v>
      </c>
    </row>
    <row r="40" customFormat="false" ht="15" hidden="false" customHeight="false" outlineLevel="0" collapsed="false">
      <c r="A40" s="9" t="str">
        <f aca="false">Inventory!A34</f>
        <v>P009</v>
      </c>
      <c r="B40" s="9" t="str">
        <f aca="false">INDEX(Products!$B$2:$B$26,MATCH(A40,Products!$A$2:$A$26,0))</f>
        <v>Electric Kettle</v>
      </c>
      <c r="C40" s="9" t="str">
        <f aca="false">INDEX(Products!$C$2:$C$26,MATCH(A40,Products!$A$2:$A$26,0))</f>
        <v>Apparel</v>
      </c>
      <c r="D40" s="9" t="str">
        <f aca="false">Inventory!B34</f>
        <v>W1</v>
      </c>
      <c r="E40" s="9" t="str">
        <f aca="false">INDEX(Warehouses!$B$2:$B$5,MATCH(D40,Warehouses!$A$2:$A$5,0))</f>
        <v>North DC</v>
      </c>
      <c r="F40" s="9" t="n">
        <f aca="false">Inventory!C34</f>
        <v>133</v>
      </c>
      <c r="G40" s="9" t="n">
        <f aca="false">Inventory!D34</f>
        <v>193</v>
      </c>
      <c r="H40" s="9" t="n">
        <f aca="false">Inventory!E34</f>
        <v>47</v>
      </c>
      <c r="I40" s="10" t="n">
        <f aca="false">MAX(0,G40-F40)</f>
        <v>60</v>
      </c>
      <c r="J40" s="9" t="str">
        <f aca="false">IF(F40&lt;=G40,"REORDER","OK")</f>
        <v>REORDER</v>
      </c>
    </row>
    <row r="41" customFormat="false" ht="15" hidden="false" customHeight="false" outlineLevel="0" collapsed="false">
      <c r="A41" s="9" t="str">
        <f aca="false">Inventory!A35</f>
        <v>P009</v>
      </c>
      <c r="B41" s="9" t="str">
        <f aca="false">INDEX(Products!$B$2:$B$26,MATCH(A41,Products!$A$2:$A$26,0))</f>
        <v>Electric Kettle</v>
      </c>
      <c r="C41" s="9" t="str">
        <f aca="false">INDEX(Products!$C$2:$C$26,MATCH(A41,Products!$A$2:$A$26,0))</f>
        <v>Apparel</v>
      </c>
      <c r="D41" s="9" t="str">
        <f aca="false">Inventory!B35</f>
        <v>W2</v>
      </c>
      <c r="E41" s="9" t="str">
        <f aca="false">INDEX(Warehouses!$B$2:$B$5,MATCH(D41,Warehouses!$A$2:$A$5,0))</f>
        <v>South DC</v>
      </c>
      <c r="F41" s="9" t="n">
        <f aca="false">Inventory!C35</f>
        <v>161</v>
      </c>
      <c r="G41" s="9" t="n">
        <f aca="false">Inventory!D35</f>
        <v>92</v>
      </c>
      <c r="H41" s="9" t="n">
        <f aca="false">Inventory!E35</f>
        <v>24</v>
      </c>
      <c r="I41" s="10" t="n">
        <f aca="false">MAX(0,G41-F41)</f>
        <v>0</v>
      </c>
      <c r="J41" s="9" t="str">
        <f aca="false">IF(F41&lt;=G41,"REORDER","OK")</f>
        <v>OK</v>
      </c>
    </row>
    <row r="42" customFormat="false" ht="15" hidden="false" customHeight="false" outlineLevel="0" collapsed="false">
      <c r="A42" s="9" t="str">
        <f aca="false">Inventory!A36</f>
        <v>P009</v>
      </c>
      <c r="B42" s="9" t="str">
        <f aca="false">INDEX(Products!$B$2:$B$26,MATCH(A42,Products!$A$2:$A$26,0))</f>
        <v>Electric Kettle</v>
      </c>
      <c r="C42" s="9" t="str">
        <f aca="false">INDEX(Products!$C$2:$C$26,MATCH(A42,Products!$A$2:$A$26,0))</f>
        <v>Apparel</v>
      </c>
      <c r="D42" s="9" t="str">
        <f aca="false">Inventory!B36</f>
        <v>W3</v>
      </c>
      <c r="E42" s="9" t="str">
        <f aca="false">INDEX(Warehouses!$B$2:$B$5,MATCH(D42,Warehouses!$A$2:$A$5,0))</f>
        <v>East DC</v>
      </c>
      <c r="F42" s="9" t="n">
        <f aca="false">Inventory!C36</f>
        <v>258</v>
      </c>
      <c r="G42" s="9" t="n">
        <f aca="false">Inventory!D36</f>
        <v>244</v>
      </c>
      <c r="H42" s="9" t="n">
        <f aca="false">Inventory!E36</f>
        <v>40</v>
      </c>
      <c r="I42" s="10" t="n">
        <f aca="false">MAX(0,G42-F42)</f>
        <v>0</v>
      </c>
      <c r="J42" s="9" t="str">
        <f aca="false">IF(F42&lt;=G42,"REORDER","OK")</f>
        <v>OK</v>
      </c>
    </row>
    <row r="43" customFormat="false" ht="15" hidden="false" customHeight="false" outlineLevel="0" collapsed="false">
      <c r="A43" s="9" t="str">
        <f aca="false">Inventory!A37</f>
        <v>P009</v>
      </c>
      <c r="B43" s="9" t="str">
        <f aca="false">INDEX(Products!$B$2:$B$26,MATCH(A43,Products!$A$2:$A$26,0))</f>
        <v>Electric Kettle</v>
      </c>
      <c r="C43" s="9" t="str">
        <f aca="false">INDEX(Products!$C$2:$C$26,MATCH(A43,Products!$A$2:$A$26,0))</f>
        <v>Apparel</v>
      </c>
      <c r="D43" s="9" t="str">
        <f aca="false">Inventory!B37</f>
        <v>W4</v>
      </c>
      <c r="E43" s="9" t="str">
        <f aca="false">INDEX(Warehouses!$B$2:$B$5,MATCH(D43,Warehouses!$A$2:$A$5,0))</f>
        <v>West DC</v>
      </c>
      <c r="F43" s="9" t="n">
        <f aca="false">Inventory!C37</f>
        <v>188</v>
      </c>
      <c r="G43" s="9" t="n">
        <f aca="false">Inventory!D37</f>
        <v>120</v>
      </c>
      <c r="H43" s="9" t="n">
        <f aca="false">Inventory!E37</f>
        <v>26</v>
      </c>
      <c r="I43" s="10" t="n">
        <f aca="false">MAX(0,G43-F43)</f>
        <v>0</v>
      </c>
      <c r="J43" s="9" t="str">
        <f aca="false">IF(F43&lt;=G43,"REORDER","OK")</f>
        <v>OK</v>
      </c>
    </row>
    <row r="44" customFormat="false" ht="15" hidden="false" customHeight="false" outlineLevel="0" collapsed="false">
      <c r="A44" s="9" t="str">
        <f aca="false">Inventory!A38</f>
        <v>P010</v>
      </c>
      <c r="B44" s="9" t="str">
        <f aca="false">INDEX(Products!$B$2:$B$26,MATCH(A44,Products!$A$2:$A$26,0))</f>
        <v>Blender</v>
      </c>
      <c r="C44" s="9" t="str">
        <f aca="false">INDEX(Products!$C$2:$C$26,MATCH(A44,Products!$A$2:$A$26,0))</f>
        <v>Tools</v>
      </c>
      <c r="D44" s="9" t="str">
        <f aca="false">Inventory!B38</f>
        <v>W1</v>
      </c>
      <c r="E44" s="9" t="str">
        <f aca="false">INDEX(Warehouses!$B$2:$B$5,MATCH(D44,Warehouses!$A$2:$A$5,0))</f>
        <v>North DC</v>
      </c>
      <c r="F44" s="9" t="n">
        <f aca="false">Inventory!C38</f>
        <v>289</v>
      </c>
      <c r="G44" s="9" t="n">
        <f aca="false">Inventory!D38</f>
        <v>304</v>
      </c>
      <c r="H44" s="9" t="n">
        <f aca="false">Inventory!E38</f>
        <v>60</v>
      </c>
      <c r="I44" s="10" t="n">
        <f aca="false">MAX(0,G44-F44)</f>
        <v>15</v>
      </c>
      <c r="J44" s="9" t="str">
        <f aca="false">IF(F44&lt;=G44,"REORDER","OK")</f>
        <v>REORDER</v>
      </c>
    </row>
    <row r="45" customFormat="false" ht="15" hidden="false" customHeight="false" outlineLevel="0" collapsed="false">
      <c r="A45" s="9" t="str">
        <f aca="false">Inventory!A39</f>
        <v>P010</v>
      </c>
      <c r="B45" s="9" t="str">
        <f aca="false">INDEX(Products!$B$2:$B$26,MATCH(A45,Products!$A$2:$A$26,0))</f>
        <v>Blender</v>
      </c>
      <c r="C45" s="9" t="str">
        <f aca="false">INDEX(Products!$C$2:$C$26,MATCH(A45,Products!$A$2:$A$26,0))</f>
        <v>Tools</v>
      </c>
      <c r="D45" s="9" t="str">
        <f aca="false">Inventory!B39</f>
        <v>W2</v>
      </c>
      <c r="E45" s="9" t="str">
        <f aca="false">INDEX(Warehouses!$B$2:$B$5,MATCH(D45,Warehouses!$A$2:$A$5,0))</f>
        <v>South DC</v>
      </c>
      <c r="F45" s="9" t="n">
        <f aca="false">Inventory!C39</f>
        <v>41</v>
      </c>
      <c r="G45" s="9" t="n">
        <f aca="false">Inventory!D39</f>
        <v>30</v>
      </c>
      <c r="H45" s="9" t="n">
        <f aca="false">Inventory!E39</f>
        <v>7</v>
      </c>
      <c r="I45" s="10" t="n">
        <f aca="false">MAX(0,G45-F45)</f>
        <v>0</v>
      </c>
      <c r="J45" s="9" t="str">
        <f aca="false">IF(F45&lt;=G45,"REORDER","OK")</f>
        <v>OK</v>
      </c>
    </row>
    <row r="46" customFormat="false" ht="15" hidden="false" customHeight="false" outlineLevel="0" collapsed="false">
      <c r="A46" s="9" t="str">
        <f aca="false">Inventory!A40</f>
        <v>P010</v>
      </c>
      <c r="B46" s="9" t="str">
        <f aca="false">INDEX(Products!$B$2:$B$26,MATCH(A46,Products!$A$2:$A$26,0))</f>
        <v>Blender</v>
      </c>
      <c r="C46" s="9" t="str">
        <f aca="false">INDEX(Products!$C$2:$C$26,MATCH(A46,Products!$A$2:$A$26,0))</f>
        <v>Tools</v>
      </c>
      <c r="D46" s="9" t="str">
        <f aca="false">Inventory!B40</f>
        <v>W3</v>
      </c>
      <c r="E46" s="9" t="str">
        <f aca="false">INDEX(Warehouses!$B$2:$B$5,MATCH(D46,Warehouses!$A$2:$A$5,0))</f>
        <v>East DC</v>
      </c>
      <c r="F46" s="9" t="n">
        <f aca="false">Inventory!C40</f>
        <v>72</v>
      </c>
      <c r="G46" s="9" t="n">
        <f aca="false">Inventory!D40</f>
        <v>51</v>
      </c>
      <c r="H46" s="9" t="n">
        <f aca="false">Inventory!E40</f>
        <v>9</v>
      </c>
      <c r="I46" s="10" t="n">
        <f aca="false">MAX(0,G46-F46)</f>
        <v>0</v>
      </c>
      <c r="J46" s="9" t="str">
        <f aca="false">IF(F46&lt;=G46,"REORDER","OK")</f>
        <v>OK</v>
      </c>
    </row>
    <row r="47" customFormat="false" ht="15" hidden="false" customHeight="false" outlineLevel="0" collapsed="false">
      <c r="A47" s="9" t="str">
        <f aca="false">Inventory!A41</f>
        <v>P010</v>
      </c>
      <c r="B47" s="9" t="str">
        <f aca="false">INDEX(Products!$B$2:$B$26,MATCH(A47,Products!$A$2:$A$26,0))</f>
        <v>Blender</v>
      </c>
      <c r="C47" s="9" t="str">
        <f aca="false">INDEX(Products!$C$2:$C$26,MATCH(A47,Products!$A$2:$A$26,0))</f>
        <v>Tools</v>
      </c>
      <c r="D47" s="9" t="str">
        <f aca="false">Inventory!B41</f>
        <v>W4</v>
      </c>
      <c r="E47" s="9" t="str">
        <f aca="false">INDEX(Warehouses!$B$2:$B$5,MATCH(D47,Warehouses!$A$2:$A$5,0))</f>
        <v>West DC</v>
      </c>
      <c r="F47" s="9" t="n">
        <f aca="false">Inventory!C41</f>
        <v>283</v>
      </c>
      <c r="G47" s="9" t="n">
        <f aca="false">Inventory!D41</f>
        <v>325</v>
      </c>
      <c r="H47" s="9" t="n">
        <f aca="false">Inventory!E41</f>
        <v>78</v>
      </c>
      <c r="I47" s="10" t="n">
        <f aca="false">MAX(0,G47-F47)</f>
        <v>42</v>
      </c>
      <c r="J47" s="9" t="str">
        <f aca="false">IF(F47&lt;=G47,"REORDER","OK")</f>
        <v>REORDER</v>
      </c>
    </row>
    <row r="48" customFormat="false" ht="15" hidden="false" customHeight="false" outlineLevel="0" collapsed="false">
      <c r="A48" s="9" t="str">
        <f aca="false">Inventory!A42</f>
        <v>P011</v>
      </c>
      <c r="B48" s="9" t="str">
        <f aca="false">INDEX(Products!$B$2:$B$26,MATCH(A48,Products!$A$2:$A$26,0))</f>
        <v>A4 Notebook Pack</v>
      </c>
      <c r="C48" s="9" t="str">
        <f aca="false">INDEX(Products!$C$2:$C$26,MATCH(A48,Products!$A$2:$A$26,0))</f>
        <v>Electronics</v>
      </c>
      <c r="D48" s="9" t="str">
        <f aca="false">Inventory!B42</f>
        <v>W1</v>
      </c>
      <c r="E48" s="9" t="str">
        <f aca="false">INDEX(Warehouses!$B$2:$B$5,MATCH(D48,Warehouses!$A$2:$A$5,0))</f>
        <v>North DC</v>
      </c>
      <c r="F48" s="9" t="n">
        <f aca="false">Inventory!C42</f>
        <v>282</v>
      </c>
      <c r="G48" s="9" t="n">
        <f aca="false">Inventory!D42</f>
        <v>281</v>
      </c>
      <c r="H48" s="9" t="n">
        <f aca="false">Inventory!E42</f>
        <v>60</v>
      </c>
      <c r="I48" s="10" t="n">
        <f aca="false">MAX(0,G48-F48)</f>
        <v>0</v>
      </c>
      <c r="J48" s="9" t="str">
        <f aca="false">IF(F48&lt;=G48,"REORDER","OK")</f>
        <v>OK</v>
      </c>
    </row>
    <row r="49" customFormat="false" ht="15" hidden="false" customHeight="false" outlineLevel="0" collapsed="false">
      <c r="A49" s="9" t="str">
        <f aca="false">Inventory!A43</f>
        <v>P011</v>
      </c>
      <c r="B49" s="9" t="str">
        <f aca="false">INDEX(Products!$B$2:$B$26,MATCH(A49,Products!$A$2:$A$26,0))</f>
        <v>A4 Notebook Pack</v>
      </c>
      <c r="C49" s="9" t="str">
        <f aca="false">INDEX(Products!$C$2:$C$26,MATCH(A49,Products!$A$2:$A$26,0))</f>
        <v>Electronics</v>
      </c>
      <c r="D49" s="9" t="str">
        <f aca="false">Inventory!B43</f>
        <v>W2</v>
      </c>
      <c r="E49" s="9" t="str">
        <f aca="false">INDEX(Warehouses!$B$2:$B$5,MATCH(D49,Warehouses!$A$2:$A$5,0))</f>
        <v>South DC</v>
      </c>
      <c r="F49" s="9" t="n">
        <f aca="false">Inventory!C43</f>
        <v>24</v>
      </c>
      <c r="G49" s="9" t="n">
        <f aca="false">Inventory!D43</f>
        <v>26</v>
      </c>
      <c r="H49" s="9" t="n">
        <f aca="false">Inventory!E43</f>
        <v>4</v>
      </c>
      <c r="I49" s="10" t="n">
        <f aca="false">MAX(0,G49-F49)</f>
        <v>2</v>
      </c>
      <c r="J49" s="9" t="str">
        <f aca="false">IF(F49&lt;=G49,"REORDER","OK")</f>
        <v>REORDER</v>
      </c>
    </row>
    <row r="50" customFormat="false" ht="15" hidden="false" customHeight="false" outlineLevel="0" collapsed="false">
      <c r="A50" s="9" t="str">
        <f aca="false">Inventory!A44</f>
        <v>P011</v>
      </c>
      <c r="B50" s="9" t="str">
        <f aca="false">INDEX(Products!$B$2:$B$26,MATCH(A50,Products!$A$2:$A$26,0))</f>
        <v>A4 Notebook Pack</v>
      </c>
      <c r="C50" s="9" t="str">
        <f aca="false">INDEX(Products!$C$2:$C$26,MATCH(A50,Products!$A$2:$A$26,0))</f>
        <v>Electronics</v>
      </c>
      <c r="D50" s="9" t="str">
        <f aca="false">Inventory!B44</f>
        <v>W3</v>
      </c>
      <c r="E50" s="9" t="str">
        <f aca="false">INDEX(Warehouses!$B$2:$B$5,MATCH(D50,Warehouses!$A$2:$A$5,0))</f>
        <v>East DC</v>
      </c>
      <c r="F50" s="9" t="n">
        <f aca="false">Inventory!C44</f>
        <v>325</v>
      </c>
      <c r="G50" s="9" t="n">
        <f aca="false">Inventory!D44</f>
        <v>267</v>
      </c>
      <c r="H50" s="9" t="n">
        <f aca="false">Inventory!E44</f>
        <v>48</v>
      </c>
      <c r="I50" s="10" t="n">
        <f aca="false">MAX(0,G50-F50)</f>
        <v>0</v>
      </c>
      <c r="J50" s="9" t="str">
        <f aca="false">IF(F50&lt;=G50,"REORDER","OK")</f>
        <v>OK</v>
      </c>
    </row>
    <row r="51" customFormat="false" ht="15" hidden="false" customHeight="false" outlineLevel="0" collapsed="false">
      <c r="A51" s="9" t="str">
        <f aca="false">Inventory!A45</f>
        <v>P011</v>
      </c>
      <c r="B51" s="9" t="str">
        <f aca="false">INDEX(Products!$B$2:$B$26,MATCH(A51,Products!$A$2:$A$26,0))</f>
        <v>A4 Notebook Pack</v>
      </c>
      <c r="C51" s="9" t="str">
        <f aca="false">INDEX(Products!$C$2:$C$26,MATCH(A51,Products!$A$2:$A$26,0))</f>
        <v>Electronics</v>
      </c>
      <c r="D51" s="9" t="str">
        <f aca="false">Inventory!B45</f>
        <v>W4</v>
      </c>
      <c r="E51" s="9" t="str">
        <f aca="false">INDEX(Warehouses!$B$2:$B$5,MATCH(D51,Warehouses!$A$2:$A$5,0))</f>
        <v>West DC</v>
      </c>
      <c r="F51" s="9" t="n">
        <f aca="false">Inventory!C45</f>
        <v>558</v>
      </c>
      <c r="G51" s="9" t="n">
        <f aca="false">Inventory!D45</f>
        <v>232</v>
      </c>
      <c r="H51" s="9" t="n">
        <f aca="false">Inventory!E45</f>
        <v>61</v>
      </c>
      <c r="I51" s="10" t="n">
        <f aca="false">MAX(0,G51-F51)</f>
        <v>0</v>
      </c>
      <c r="J51" s="9" t="str">
        <f aca="false">IF(F51&lt;=G51,"REORDER","OK")</f>
        <v>OK</v>
      </c>
    </row>
    <row r="52" customFormat="false" ht="15" hidden="false" customHeight="false" outlineLevel="0" collapsed="false">
      <c r="A52" s="9" t="str">
        <f aca="false">Inventory!A46</f>
        <v>P012</v>
      </c>
      <c r="B52" s="9" t="str">
        <f aca="false">INDEX(Products!$B$2:$B$26,MATCH(A52,Products!$A$2:$A$26,0))</f>
        <v>Gel Pens (12-pack)</v>
      </c>
      <c r="C52" s="9" t="str">
        <f aca="false">INDEX(Products!$C$2:$C$26,MATCH(A52,Products!$A$2:$A$26,0))</f>
        <v>Home &amp; Kitchen</v>
      </c>
      <c r="D52" s="9" t="str">
        <f aca="false">Inventory!B46</f>
        <v>W1</v>
      </c>
      <c r="E52" s="9" t="str">
        <f aca="false">INDEX(Warehouses!$B$2:$B$5,MATCH(D52,Warehouses!$A$2:$A$5,0))</f>
        <v>North DC</v>
      </c>
      <c r="F52" s="9" t="n">
        <f aca="false">Inventory!C46</f>
        <v>296</v>
      </c>
      <c r="G52" s="9" t="n">
        <f aca="false">Inventory!D46</f>
        <v>159</v>
      </c>
      <c r="H52" s="9" t="n">
        <f aca="false">Inventory!E46</f>
        <v>30</v>
      </c>
      <c r="I52" s="10" t="n">
        <f aca="false">MAX(0,G52-F52)</f>
        <v>0</v>
      </c>
      <c r="J52" s="9" t="str">
        <f aca="false">IF(F52&lt;=G52,"REORDER","OK")</f>
        <v>OK</v>
      </c>
    </row>
    <row r="53" customFormat="false" ht="15" hidden="false" customHeight="false" outlineLevel="0" collapsed="false">
      <c r="A53" s="9" t="str">
        <f aca="false">Inventory!A47</f>
        <v>P012</v>
      </c>
      <c r="B53" s="9" t="str">
        <f aca="false">INDEX(Products!$B$2:$B$26,MATCH(A53,Products!$A$2:$A$26,0))</f>
        <v>Gel Pens (12-pack)</v>
      </c>
      <c r="C53" s="9" t="str">
        <f aca="false">INDEX(Products!$C$2:$C$26,MATCH(A53,Products!$A$2:$A$26,0))</f>
        <v>Home &amp; Kitchen</v>
      </c>
      <c r="D53" s="9" t="str">
        <f aca="false">Inventory!B47</f>
        <v>W2</v>
      </c>
      <c r="E53" s="9" t="str">
        <f aca="false">INDEX(Warehouses!$B$2:$B$5,MATCH(D53,Warehouses!$A$2:$A$5,0))</f>
        <v>South DC</v>
      </c>
      <c r="F53" s="9" t="n">
        <f aca="false">Inventory!C47</f>
        <v>146</v>
      </c>
      <c r="G53" s="9" t="n">
        <f aca="false">Inventory!D47</f>
        <v>258</v>
      </c>
      <c r="H53" s="9" t="n">
        <f aca="false">Inventory!E47</f>
        <v>66</v>
      </c>
      <c r="I53" s="10" t="n">
        <f aca="false">MAX(0,G53-F53)</f>
        <v>112</v>
      </c>
      <c r="J53" s="9" t="str">
        <f aca="false">IF(F53&lt;=G53,"REORDER","OK")</f>
        <v>REORDER</v>
      </c>
    </row>
    <row r="54" customFormat="false" ht="15" hidden="false" customHeight="false" outlineLevel="0" collapsed="false">
      <c r="A54" s="9" t="str">
        <f aca="false">Inventory!A48</f>
        <v>P012</v>
      </c>
      <c r="B54" s="9" t="str">
        <f aca="false">INDEX(Products!$B$2:$B$26,MATCH(A54,Products!$A$2:$A$26,0))</f>
        <v>Gel Pens (12-pack)</v>
      </c>
      <c r="C54" s="9" t="str">
        <f aca="false">INDEX(Products!$C$2:$C$26,MATCH(A54,Products!$A$2:$A$26,0))</f>
        <v>Home &amp; Kitchen</v>
      </c>
      <c r="D54" s="9" t="str">
        <f aca="false">Inventory!B48</f>
        <v>W3</v>
      </c>
      <c r="E54" s="9" t="str">
        <f aca="false">INDEX(Warehouses!$B$2:$B$5,MATCH(D54,Warehouses!$A$2:$A$5,0))</f>
        <v>East DC</v>
      </c>
      <c r="F54" s="9" t="n">
        <f aca="false">Inventory!C48</f>
        <v>77</v>
      </c>
      <c r="G54" s="9" t="n">
        <f aca="false">Inventory!D48</f>
        <v>103</v>
      </c>
      <c r="H54" s="9" t="n">
        <f aca="false">Inventory!E48</f>
        <v>18</v>
      </c>
      <c r="I54" s="10" t="n">
        <f aca="false">MAX(0,G54-F54)</f>
        <v>26</v>
      </c>
      <c r="J54" s="9" t="str">
        <f aca="false">IF(F54&lt;=G54,"REORDER","OK")</f>
        <v>REORDER</v>
      </c>
    </row>
    <row r="55" customFormat="false" ht="15" hidden="false" customHeight="false" outlineLevel="0" collapsed="false">
      <c r="A55" s="9" t="str">
        <f aca="false">Inventory!A49</f>
        <v>P012</v>
      </c>
      <c r="B55" s="9" t="str">
        <f aca="false">INDEX(Products!$B$2:$B$26,MATCH(A55,Products!$A$2:$A$26,0))</f>
        <v>Gel Pens (12-pack)</v>
      </c>
      <c r="C55" s="9" t="str">
        <f aca="false">INDEX(Products!$C$2:$C$26,MATCH(A55,Products!$A$2:$A$26,0))</f>
        <v>Home &amp; Kitchen</v>
      </c>
      <c r="D55" s="9" t="str">
        <f aca="false">Inventory!B49</f>
        <v>W4</v>
      </c>
      <c r="E55" s="9" t="str">
        <f aca="false">INDEX(Warehouses!$B$2:$B$5,MATCH(D55,Warehouses!$A$2:$A$5,0))</f>
        <v>West DC</v>
      </c>
      <c r="F55" s="9" t="n">
        <f aca="false">Inventory!C49</f>
        <v>199</v>
      </c>
      <c r="G55" s="9" t="n">
        <f aca="false">Inventory!D49</f>
        <v>279</v>
      </c>
      <c r="H55" s="9" t="n">
        <f aca="false">Inventory!E49</f>
        <v>43</v>
      </c>
      <c r="I55" s="10" t="n">
        <f aca="false">MAX(0,G55-F55)</f>
        <v>80</v>
      </c>
      <c r="J55" s="9" t="str">
        <f aca="false">IF(F55&lt;=G55,"REORDER","OK")</f>
        <v>REORDER</v>
      </c>
    </row>
    <row r="56" customFormat="false" ht="15" hidden="false" customHeight="false" outlineLevel="0" collapsed="false">
      <c r="A56" s="9" t="str">
        <f aca="false">Inventory!A50</f>
        <v>P013</v>
      </c>
      <c r="B56" s="9" t="str">
        <f aca="false">INDEX(Products!$B$2:$B$26,MATCH(A56,Products!$A$2:$A$26,0))</f>
        <v>Sticky Notes</v>
      </c>
      <c r="C56" s="9" t="str">
        <f aca="false">INDEX(Products!$C$2:$C$26,MATCH(A56,Products!$A$2:$A$26,0))</f>
        <v>Office Supplies</v>
      </c>
      <c r="D56" s="9" t="str">
        <f aca="false">Inventory!B50</f>
        <v>W1</v>
      </c>
      <c r="E56" s="9" t="str">
        <f aca="false">INDEX(Warehouses!$B$2:$B$5,MATCH(D56,Warehouses!$A$2:$A$5,0))</f>
        <v>North DC</v>
      </c>
      <c r="F56" s="9" t="n">
        <f aca="false">Inventory!C50</f>
        <v>435</v>
      </c>
      <c r="G56" s="9" t="n">
        <f aca="false">Inventory!D50</f>
        <v>201</v>
      </c>
      <c r="H56" s="9" t="n">
        <f aca="false">Inventory!E50</f>
        <v>33</v>
      </c>
      <c r="I56" s="10" t="n">
        <f aca="false">MAX(0,G56-F56)</f>
        <v>0</v>
      </c>
      <c r="J56" s="9" t="str">
        <f aca="false">IF(F56&lt;=G56,"REORDER","OK")</f>
        <v>OK</v>
      </c>
    </row>
    <row r="57" customFormat="false" ht="15" hidden="false" customHeight="false" outlineLevel="0" collapsed="false">
      <c r="A57" s="9" t="str">
        <f aca="false">Inventory!A51</f>
        <v>P013</v>
      </c>
      <c r="B57" s="9" t="str">
        <f aca="false">INDEX(Products!$B$2:$B$26,MATCH(A57,Products!$A$2:$A$26,0))</f>
        <v>Sticky Notes</v>
      </c>
      <c r="C57" s="9" t="str">
        <f aca="false">INDEX(Products!$C$2:$C$26,MATCH(A57,Products!$A$2:$A$26,0))</f>
        <v>Office Supplies</v>
      </c>
      <c r="D57" s="9" t="str">
        <f aca="false">Inventory!B51</f>
        <v>W2</v>
      </c>
      <c r="E57" s="9" t="str">
        <f aca="false">INDEX(Warehouses!$B$2:$B$5,MATCH(D57,Warehouses!$A$2:$A$5,0))</f>
        <v>South DC</v>
      </c>
      <c r="F57" s="9" t="n">
        <f aca="false">Inventory!C51</f>
        <v>194</v>
      </c>
      <c r="G57" s="9" t="n">
        <f aca="false">Inventory!D51</f>
        <v>115</v>
      </c>
      <c r="H57" s="9" t="n">
        <f aca="false">Inventory!E51</f>
        <v>19</v>
      </c>
      <c r="I57" s="10" t="n">
        <f aca="false">MAX(0,G57-F57)</f>
        <v>0</v>
      </c>
      <c r="J57" s="9" t="str">
        <f aca="false">IF(F57&lt;=G57,"REORDER","OK")</f>
        <v>OK</v>
      </c>
    </row>
    <row r="58" customFormat="false" ht="15" hidden="false" customHeight="false" outlineLevel="0" collapsed="false">
      <c r="A58" s="9" t="str">
        <f aca="false">Inventory!A52</f>
        <v>P013</v>
      </c>
      <c r="B58" s="9" t="str">
        <f aca="false">INDEX(Products!$B$2:$B$26,MATCH(A58,Products!$A$2:$A$26,0))</f>
        <v>Sticky Notes</v>
      </c>
      <c r="C58" s="9" t="str">
        <f aca="false">INDEX(Products!$C$2:$C$26,MATCH(A58,Products!$A$2:$A$26,0))</f>
        <v>Office Supplies</v>
      </c>
      <c r="D58" s="9" t="str">
        <f aca="false">Inventory!B52</f>
        <v>W3</v>
      </c>
      <c r="E58" s="9" t="str">
        <f aca="false">INDEX(Warehouses!$B$2:$B$5,MATCH(D58,Warehouses!$A$2:$A$5,0))</f>
        <v>East DC</v>
      </c>
      <c r="F58" s="9" t="n">
        <f aca="false">Inventory!C52</f>
        <v>91</v>
      </c>
      <c r="G58" s="9" t="n">
        <f aca="false">Inventory!D52</f>
        <v>74</v>
      </c>
      <c r="H58" s="9" t="n">
        <f aca="false">Inventory!E52</f>
        <v>14</v>
      </c>
      <c r="I58" s="10" t="n">
        <f aca="false">MAX(0,G58-F58)</f>
        <v>0</v>
      </c>
      <c r="J58" s="9" t="str">
        <f aca="false">IF(F58&lt;=G58,"REORDER","OK")</f>
        <v>OK</v>
      </c>
    </row>
    <row r="59" customFormat="false" ht="15" hidden="false" customHeight="false" outlineLevel="0" collapsed="false">
      <c r="A59" s="9" t="str">
        <f aca="false">Inventory!A53</f>
        <v>P013</v>
      </c>
      <c r="B59" s="9" t="str">
        <f aca="false">INDEX(Products!$B$2:$B$26,MATCH(A59,Products!$A$2:$A$26,0))</f>
        <v>Sticky Notes</v>
      </c>
      <c r="C59" s="9" t="str">
        <f aca="false">INDEX(Products!$C$2:$C$26,MATCH(A59,Products!$A$2:$A$26,0))</f>
        <v>Office Supplies</v>
      </c>
      <c r="D59" s="9" t="str">
        <f aca="false">Inventory!B53</f>
        <v>W4</v>
      </c>
      <c r="E59" s="9" t="str">
        <f aca="false">INDEX(Warehouses!$B$2:$B$5,MATCH(D59,Warehouses!$A$2:$A$5,0))</f>
        <v>West DC</v>
      </c>
      <c r="F59" s="9" t="n">
        <f aca="false">Inventory!C53</f>
        <v>64</v>
      </c>
      <c r="G59" s="9" t="n">
        <f aca="false">Inventory!D53</f>
        <v>55</v>
      </c>
      <c r="H59" s="9" t="n">
        <f aca="false">Inventory!E53</f>
        <v>8</v>
      </c>
      <c r="I59" s="10" t="n">
        <f aca="false">MAX(0,G59-F59)</f>
        <v>0</v>
      </c>
      <c r="J59" s="9" t="str">
        <f aca="false">IF(F59&lt;=G59,"REORDER","OK")</f>
        <v>OK</v>
      </c>
    </row>
    <row r="60" customFormat="false" ht="15" hidden="false" customHeight="false" outlineLevel="0" collapsed="false">
      <c r="A60" s="9" t="str">
        <f aca="false">Inventory!A54</f>
        <v>P014</v>
      </c>
      <c r="B60" s="9" t="str">
        <f aca="false">INDEX(Products!$B$2:$B$26,MATCH(A60,Products!$A$2:$A$26,0))</f>
        <v>Desk Organizer</v>
      </c>
      <c r="C60" s="9" t="str">
        <f aca="false">INDEX(Products!$C$2:$C$26,MATCH(A60,Products!$A$2:$A$26,0))</f>
        <v>Apparel</v>
      </c>
      <c r="D60" s="9" t="str">
        <f aca="false">Inventory!B54</f>
        <v>W1</v>
      </c>
      <c r="E60" s="9" t="str">
        <f aca="false">INDEX(Warehouses!$B$2:$B$5,MATCH(D60,Warehouses!$A$2:$A$5,0))</f>
        <v>North DC</v>
      </c>
      <c r="F60" s="9" t="n">
        <f aca="false">Inventory!C54</f>
        <v>112</v>
      </c>
      <c r="G60" s="9" t="n">
        <f aca="false">Inventory!D54</f>
        <v>73</v>
      </c>
      <c r="H60" s="9" t="n">
        <f aca="false">Inventory!E54</f>
        <v>11</v>
      </c>
      <c r="I60" s="10" t="n">
        <f aca="false">MAX(0,G60-F60)</f>
        <v>0</v>
      </c>
      <c r="J60" s="9" t="str">
        <f aca="false">IF(F60&lt;=G60,"REORDER","OK")</f>
        <v>OK</v>
      </c>
    </row>
    <row r="61" customFormat="false" ht="15" hidden="false" customHeight="false" outlineLevel="0" collapsed="false">
      <c r="A61" s="9" t="str">
        <f aca="false">Inventory!A55</f>
        <v>P014</v>
      </c>
      <c r="B61" s="9" t="str">
        <f aca="false">INDEX(Products!$B$2:$B$26,MATCH(A61,Products!$A$2:$A$26,0))</f>
        <v>Desk Organizer</v>
      </c>
      <c r="C61" s="9" t="str">
        <f aca="false">INDEX(Products!$C$2:$C$26,MATCH(A61,Products!$A$2:$A$26,0))</f>
        <v>Apparel</v>
      </c>
      <c r="D61" s="9" t="str">
        <f aca="false">Inventory!B55</f>
        <v>W2</v>
      </c>
      <c r="E61" s="9" t="str">
        <f aca="false">INDEX(Warehouses!$B$2:$B$5,MATCH(D61,Warehouses!$A$2:$A$5,0))</f>
        <v>South DC</v>
      </c>
      <c r="F61" s="9" t="n">
        <f aca="false">Inventory!C55</f>
        <v>351</v>
      </c>
      <c r="G61" s="9" t="n">
        <f aca="false">Inventory!D55</f>
        <v>238</v>
      </c>
      <c r="H61" s="9" t="n">
        <f aca="false">Inventory!E55</f>
        <v>48</v>
      </c>
      <c r="I61" s="10" t="n">
        <f aca="false">MAX(0,G61-F61)</f>
        <v>0</v>
      </c>
      <c r="J61" s="9" t="str">
        <f aca="false">IF(F61&lt;=G61,"REORDER","OK")</f>
        <v>OK</v>
      </c>
    </row>
    <row r="62" customFormat="false" ht="15" hidden="false" customHeight="false" outlineLevel="0" collapsed="false">
      <c r="A62" s="9" t="str">
        <f aca="false">Inventory!A56</f>
        <v>P014</v>
      </c>
      <c r="B62" s="9" t="str">
        <f aca="false">INDEX(Products!$B$2:$B$26,MATCH(A62,Products!$A$2:$A$26,0))</f>
        <v>Desk Organizer</v>
      </c>
      <c r="C62" s="9" t="str">
        <f aca="false">INDEX(Products!$C$2:$C$26,MATCH(A62,Products!$A$2:$A$26,0))</f>
        <v>Apparel</v>
      </c>
      <c r="D62" s="9" t="str">
        <f aca="false">Inventory!B56</f>
        <v>W3</v>
      </c>
      <c r="E62" s="9" t="str">
        <f aca="false">INDEX(Warehouses!$B$2:$B$5,MATCH(D62,Warehouses!$A$2:$A$5,0))</f>
        <v>East DC</v>
      </c>
      <c r="F62" s="9" t="n">
        <f aca="false">Inventory!C56</f>
        <v>185</v>
      </c>
      <c r="G62" s="9" t="n">
        <f aca="false">Inventory!D56</f>
        <v>197</v>
      </c>
      <c r="H62" s="9" t="n">
        <f aca="false">Inventory!E56</f>
        <v>52</v>
      </c>
      <c r="I62" s="10" t="n">
        <f aca="false">MAX(0,G62-F62)</f>
        <v>12</v>
      </c>
      <c r="J62" s="9" t="str">
        <f aca="false">IF(F62&lt;=G62,"REORDER","OK")</f>
        <v>REORDER</v>
      </c>
    </row>
    <row r="63" customFormat="false" ht="15" hidden="false" customHeight="false" outlineLevel="0" collapsed="false">
      <c r="A63" s="9" t="str">
        <f aca="false">Inventory!A57</f>
        <v>P014</v>
      </c>
      <c r="B63" s="9" t="str">
        <f aca="false">INDEX(Products!$B$2:$B$26,MATCH(A63,Products!$A$2:$A$26,0))</f>
        <v>Desk Organizer</v>
      </c>
      <c r="C63" s="9" t="str">
        <f aca="false">INDEX(Products!$C$2:$C$26,MATCH(A63,Products!$A$2:$A$26,0))</f>
        <v>Apparel</v>
      </c>
      <c r="D63" s="9" t="str">
        <f aca="false">Inventory!B57</f>
        <v>W4</v>
      </c>
      <c r="E63" s="9" t="str">
        <f aca="false">INDEX(Warehouses!$B$2:$B$5,MATCH(D63,Warehouses!$A$2:$A$5,0))</f>
        <v>West DC</v>
      </c>
      <c r="F63" s="9" t="n">
        <f aca="false">Inventory!C57</f>
        <v>94</v>
      </c>
      <c r="G63" s="9" t="n">
        <f aca="false">Inventory!D57</f>
        <v>35</v>
      </c>
      <c r="H63" s="9" t="n">
        <f aca="false">Inventory!E57</f>
        <v>6</v>
      </c>
      <c r="I63" s="10" t="n">
        <f aca="false">MAX(0,G63-F63)</f>
        <v>0</v>
      </c>
      <c r="J63" s="9" t="str">
        <f aca="false">IF(F63&lt;=G63,"REORDER","OK")</f>
        <v>OK</v>
      </c>
    </row>
    <row r="64" customFormat="false" ht="15" hidden="false" customHeight="false" outlineLevel="0" collapsed="false">
      <c r="A64" s="9" t="str">
        <f aca="false">Inventory!A58</f>
        <v>P015</v>
      </c>
      <c r="B64" s="9" t="str">
        <f aca="false">INDEX(Products!$B$2:$B$26,MATCH(A64,Products!$A$2:$A$26,0))</f>
        <v>Stapler</v>
      </c>
      <c r="C64" s="9" t="str">
        <f aca="false">INDEX(Products!$C$2:$C$26,MATCH(A64,Products!$A$2:$A$26,0))</f>
        <v>Tools</v>
      </c>
      <c r="D64" s="9" t="str">
        <f aca="false">Inventory!B58</f>
        <v>W1</v>
      </c>
      <c r="E64" s="9" t="str">
        <f aca="false">INDEX(Warehouses!$B$2:$B$5,MATCH(D64,Warehouses!$A$2:$A$5,0))</f>
        <v>North DC</v>
      </c>
      <c r="F64" s="9" t="n">
        <f aca="false">Inventory!C58</f>
        <v>149</v>
      </c>
      <c r="G64" s="9" t="n">
        <f aca="false">Inventory!D58</f>
        <v>100</v>
      </c>
      <c r="H64" s="9" t="n">
        <f aca="false">Inventory!E58</f>
        <v>24</v>
      </c>
      <c r="I64" s="10" t="n">
        <f aca="false">MAX(0,G64-F64)</f>
        <v>0</v>
      </c>
      <c r="J64" s="9" t="str">
        <f aca="false">IF(F64&lt;=G64,"REORDER","OK")</f>
        <v>OK</v>
      </c>
    </row>
    <row r="65" customFormat="false" ht="15" hidden="false" customHeight="false" outlineLevel="0" collapsed="false">
      <c r="A65" s="9" t="str">
        <f aca="false">Inventory!A59</f>
        <v>P015</v>
      </c>
      <c r="B65" s="9" t="str">
        <f aca="false">INDEX(Products!$B$2:$B$26,MATCH(A65,Products!$A$2:$A$26,0))</f>
        <v>Stapler</v>
      </c>
      <c r="C65" s="9" t="str">
        <f aca="false">INDEX(Products!$C$2:$C$26,MATCH(A65,Products!$A$2:$A$26,0))</f>
        <v>Tools</v>
      </c>
      <c r="D65" s="9" t="str">
        <f aca="false">Inventory!B59</f>
        <v>W2</v>
      </c>
      <c r="E65" s="9" t="str">
        <f aca="false">INDEX(Warehouses!$B$2:$B$5,MATCH(D65,Warehouses!$A$2:$A$5,0))</f>
        <v>South DC</v>
      </c>
      <c r="F65" s="9" t="n">
        <f aca="false">Inventory!C59</f>
        <v>52</v>
      </c>
      <c r="G65" s="9" t="n">
        <f aca="false">Inventory!D59</f>
        <v>37</v>
      </c>
      <c r="H65" s="9" t="n">
        <f aca="false">Inventory!E59</f>
        <v>8</v>
      </c>
      <c r="I65" s="10" t="n">
        <f aca="false">MAX(0,G65-F65)</f>
        <v>0</v>
      </c>
      <c r="J65" s="9" t="str">
        <f aca="false">IF(F65&lt;=G65,"REORDER","OK")</f>
        <v>OK</v>
      </c>
    </row>
    <row r="66" customFormat="false" ht="15" hidden="false" customHeight="false" outlineLevel="0" collapsed="false">
      <c r="A66" s="9" t="str">
        <f aca="false">Inventory!A60</f>
        <v>P015</v>
      </c>
      <c r="B66" s="9" t="str">
        <f aca="false">INDEX(Products!$B$2:$B$26,MATCH(A66,Products!$A$2:$A$26,0))</f>
        <v>Stapler</v>
      </c>
      <c r="C66" s="9" t="str">
        <f aca="false">INDEX(Products!$C$2:$C$26,MATCH(A66,Products!$A$2:$A$26,0))</f>
        <v>Tools</v>
      </c>
      <c r="D66" s="9" t="str">
        <f aca="false">Inventory!B60</f>
        <v>W3</v>
      </c>
      <c r="E66" s="9" t="str">
        <f aca="false">INDEX(Warehouses!$B$2:$B$5,MATCH(D66,Warehouses!$A$2:$A$5,0))</f>
        <v>East DC</v>
      </c>
      <c r="F66" s="9" t="n">
        <f aca="false">Inventory!C60</f>
        <v>80</v>
      </c>
      <c r="G66" s="9" t="n">
        <f aca="false">Inventory!D60</f>
        <v>56</v>
      </c>
      <c r="H66" s="9" t="n">
        <f aca="false">Inventory!E60</f>
        <v>15</v>
      </c>
      <c r="I66" s="10" t="n">
        <f aca="false">MAX(0,G66-F66)</f>
        <v>0</v>
      </c>
      <c r="J66" s="9" t="str">
        <f aca="false">IF(F66&lt;=G66,"REORDER","OK")</f>
        <v>OK</v>
      </c>
    </row>
    <row r="67" customFormat="false" ht="15" hidden="false" customHeight="false" outlineLevel="0" collapsed="false">
      <c r="A67" s="9" t="str">
        <f aca="false">Inventory!A61</f>
        <v>P015</v>
      </c>
      <c r="B67" s="9" t="str">
        <f aca="false">INDEX(Products!$B$2:$B$26,MATCH(A67,Products!$A$2:$A$26,0))</f>
        <v>Stapler</v>
      </c>
      <c r="C67" s="9" t="str">
        <f aca="false">INDEX(Products!$C$2:$C$26,MATCH(A67,Products!$A$2:$A$26,0))</f>
        <v>Tools</v>
      </c>
      <c r="D67" s="9" t="str">
        <f aca="false">Inventory!B61</f>
        <v>W4</v>
      </c>
      <c r="E67" s="9" t="str">
        <f aca="false">INDEX(Warehouses!$B$2:$B$5,MATCH(D67,Warehouses!$A$2:$A$5,0))</f>
        <v>West DC</v>
      </c>
      <c r="F67" s="9" t="n">
        <f aca="false">Inventory!C61</f>
        <v>500</v>
      </c>
      <c r="G67" s="9" t="n">
        <f aca="false">Inventory!D61</f>
        <v>284</v>
      </c>
      <c r="H67" s="9" t="n">
        <f aca="false">Inventory!E61</f>
        <v>47</v>
      </c>
      <c r="I67" s="10" t="n">
        <f aca="false">MAX(0,G67-F67)</f>
        <v>0</v>
      </c>
      <c r="J67" s="9" t="str">
        <f aca="false">IF(F67&lt;=G67,"REORDER","OK")</f>
        <v>OK</v>
      </c>
    </row>
    <row r="68" customFormat="false" ht="15" hidden="false" customHeight="false" outlineLevel="0" collapsed="false">
      <c r="A68" s="9" t="str">
        <f aca="false">Inventory!A62</f>
        <v>P016</v>
      </c>
      <c r="B68" s="9" t="str">
        <f aca="false">INDEX(Products!$B$2:$B$26,MATCH(A68,Products!$A$2:$A$26,0))</f>
        <v>Cotton T-Shirt</v>
      </c>
      <c r="C68" s="9" t="str">
        <f aca="false">INDEX(Products!$C$2:$C$26,MATCH(A68,Products!$A$2:$A$26,0))</f>
        <v>Electronics</v>
      </c>
      <c r="D68" s="9" t="str">
        <f aca="false">Inventory!B62</f>
        <v>W1</v>
      </c>
      <c r="E68" s="9" t="str">
        <f aca="false">INDEX(Warehouses!$B$2:$B$5,MATCH(D68,Warehouses!$A$2:$A$5,0))</f>
        <v>North DC</v>
      </c>
      <c r="F68" s="9" t="n">
        <f aca="false">Inventory!C62</f>
        <v>158</v>
      </c>
      <c r="G68" s="9" t="n">
        <f aca="false">Inventory!D62</f>
        <v>149</v>
      </c>
      <c r="H68" s="9" t="n">
        <f aca="false">Inventory!E62</f>
        <v>94</v>
      </c>
      <c r="I68" s="10" t="n">
        <f aca="false">MAX(0,G68-F68)</f>
        <v>0</v>
      </c>
      <c r="J68" s="9" t="str">
        <f aca="false">IF(F68&lt;=G68,"REORDER","OK")</f>
        <v>OK</v>
      </c>
    </row>
    <row r="69" customFormat="false" ht="15" hidden="false" customHeight="false" outlineLevel="0" collapsed="false">
      <c r="A69" s="9" t="str">
        <f aca="false">Inventory!A63</f>
        <v>P016</v>
      </c>
      <c r="B69" s="9" t="str">
        <f aca="false">INDEX(Products!$B$2:$B$26,MATCH(A69,Products!$A$2:$A$26,0))</f>
        <v>Cotton T-Shirt</v>
      </c>
      <c r="C69" s="9" t="str">
        <f aca="false">INDEX(Products!$C$2:$C$26,MATCH(A69,Products!$A$2:$A$26,0))</f>
        <v>Electronics</v>
      </c>
      <c r="D69" s="9" t="str">
        <f aca="false">Inventory!B63</f>
        <v>W2</v>
      </c>
      <c r="E69" s="9" t="str">
        <f aca="false">INDEX(Warehouses!$B$2:$B$5,MATCH(D69,Warehouses!$A$2:$A$5,0))</f>
        <v>South DC</v>
      </c>
      <c r="F69" s="9" t="n">
        <f aca="false">Inventory!C63</f>
        <v>131</v>
      </c>
      <c r="G69" s="9" t="n">
        <f aca="false">Inventory!D63</f>
        <v>114</v>
      </c>
      <c r="H69" s="9" t="n">
        <f aca="false">Inventory!E63</f>
        <v>66</v>
      </c>
      <c r="I69" s="10" t="n">
        <f aca="false">MAX(0,G69-F69)</f>
        <v>0</v>
      </c>
      <c r="J69" s="9" t="str">
        <f aca="false">IF(F69&lt;=G69,"REORDER","OK")</f>
        <v>OK</v>
      </c>
    </row>
    <row r="70" customFormat="false" ht="15" hidden="false" customHeight="false" outlineLevel="0" collapsed="false">
      <c r="A70" s="9" t="str">
        <f aca="false">Inventory!A64</f>
        <v>P016</v>
      </c>
      <c r="B70" s="9" t="str">
        <f aca="false">INDEX(Products!$B$2:$B$26,MATCH(A70,Products!$A$2:$A$26,0))</f>
        <v>Cotton T-Shirt</v>
      </c>
      <c r="C70" s="9" t="str">
        <f aca="false">INDEX(Products!$C$2:$C$26,MATCH(A70,Products!$A$2:$A$26,0))</f>
        <v>Electronics</v>
      </c>
      <c r="D70" s="9" t="str">
        <f aca="false">Inventory!B64</f>
        <v>W3</v>
      </c>
      <c r="E70" s="9" t="str">
        <f aca="false">INDEX(Warehouses!$B$2:$B$5,MATCH(D70,Warehouses!$A$2:$A$5,0))</f>
        <v>East DC</v>
      </c>
      <c r="F70" s="9" t="n">
        <f aca="false">Inventory!C64</f>
        <v>37</v>
      </c>
      <c r="G70" s="9" t="n">
        <f aca="false">Inventory!D64</f>
        <v>27</v>
      </c>
      <c r="H70" s="9" t="n">
        <f aca="false">Inventory!E64</f>
        <v>15</v>
      </c>
      <c r="I70" s="10" t="n">
        <f aca="false">MAX(0,G70-F70)</f>
        <v>0</v>
      </c>
      <c r="J70" s="9" t="str">
        <f aca="false">IF(F70&lt;=G70,"REORDER","OK")</f>
        <v>OK</v>
      </c>
    </row>
    <row r="71" customFormat="false" ht="15" hidden="false" customHeight="false" outlineLevel="0" collapsed="false">
      <c r="A71" s="9" t="str">
        <f aca="false">Inventory!A65</f>
        <v>P016</v>
      </c>
      <c r="B71" s="9" t="str">
        <f aca="false">INDEX(Products!$B$2:$B$26,MATCH(A71,Products!$A$2:$A$26,0))</f>
        <v>Cotton T-Shirt</v>
      </c>
      <c r="C71" s="9" t="str">
        <f aca="false">INDEX(Products!$C$2:$C$26,MATCH(A71,Products!$A$2:$A$26,0))</f>
        <v>Electronics</v>
      </c>
      <c r="D71" s="9" t="str">
        <f aca="false">Inventory!B65</f>
        <v>W4</v>
      </c>
      <c r="E71" s="9" t="str">
        <f aca="false">INDEX(Warehouses!$B$2:$B$5,MATCH(D71,Warehouses!$A$2:$A$5,0))</f>
        <v>West DC</v>
      </c>
      <c r="F71" s="9" t="n">
        <f aca="false">Inventory!C65</f>
        <v>135</v>
      </c>
      <c r="G71" s="9" t="n">
        <f aca="false">Inventory!D65</f>
        <v>115</v>
      </c>
      <c r="H71" s="9" t="n">
        <f aca="false">Inventory!E65</f>
        <v>63</v>
      </c>
      <c r="I71" s="10" t="n">
        <f aca="false">MAX(0,G71-F71)</f>
        <v>0</v>
      </c>
      <c r="J71" s="9" t="str">
        <f aca="false">IF(F71&lt;=G71,"REORDER","OK")</f>
        <v>OK</v>
      </c>
    </row>
    <row r="72" customFormat="false" ht="15" hidden="false" customHeight="false" outlineLevel="0" collapsed="false">
      <c r="A72" s="9" t="str">
        <f aca="false">Inventory!A66</f>
        <v>P017</v>
      </c>
      <c r="B72" s="9" t="str">
        <f aca="false">INDEX(Products!$B$2:$B$26,MATCH(A72,Products!$A$2:$A$26,0))</f>
        <v>Denim Jacket</v>
      </c>
      <c r="C72" s="9" t="str">
        <f aca="false">INDEX(Products!$C$2:$C$26,MATCH(A72,Products!$A$2:$A$26,0))</f>
        <v>Home &amp; Kitchen</v>
      </c>
      <c r="D72" s="9" t="str">
        <f aca="false">Inventory!B66</f>
        <v>W1</v>
      </c>
      <c r="E72" s="9" t="str">
        <f aca="false">INDEX(Warehouses!$B$2:$B$5,MATCH(D72,Warehouses!$A$2:$A$5,0))</f>
        <v>North DC</v>
      </c>
      <c r="F72" s="9" t="n">
        <f aca="false">Inventory!C66</f>
        <v>232</v>
      </c>
      <c r="G72" s="9" t="n">
        <f aca="false">Inventory!D66</f>
        <v>209</v>
      </c>
      <c r="H72" s="9" t="n">
        <f aca="false">Inventory!E66</f>
        <v>40</v>
      </c>
      <c r="I72" s="10" t="n">
        <f aca="false">MAX(0,G72-F72)</f>
        <v>0</v>
      </c>
      <c r="J72" s="9" t="str">
        <f aca="false">IF(F72&lt;=G72,"REORDER","OK")</f>
        <v>OK</v>
      </c>
    </row>
    <row r="73" customFormat="false" ht="15" hidden="false" customHeight="false" outlineLevel="0" collapsed="false">
      <c r="A73" s="9" t="str">
        <f aca="false">Inventory!A67</f>
        <v>P017</v>
      </c>
      <c r="B73" s="9" t="str">
        <f aca="false">INDEX(Products!$B$2:$B$26,MATCH(A73,Products!$A$2:$A$26,0))</f>
        <v>Denim Jacket</v>
      </c>
      <c r="C73" s="9" t="str">
        <f aca="false">INDEX(Products!$C$2:$C$26,MATCH(A73,Products!$A$2:$A$26,0))</f>
        <v>Home &amp; Kitchen</v>
      </c>
      <c r="D73" s="9" t="str">
        <f aca="false">Inventory!B67</f>
        <v>W2</v>
      </c>
      <c r="E73" s="9" t="str">
        <f aca="false">INDEX(Warehouses!$B$2:$B$5,MATCH(D73,Warehouses!$A$2:$A$5,0))</f>
        <v>South DC</v>
      </c>
      <c r="F73" s="9" t="n">
        <f aca="false">Inventory!C67</f>
        <v>361</v>
      </c>
      <c r="G73" s="9" t="n">
        <f aca="false">Inventory!D67</f>
        <v>167</v>
      </c>
      <c r="H73" s="9" t="n">
        <f aca="false">Inventory!E67</f>
        <v>36</v>
      </c>
      <c r="I73" s="10" t="n">
        <f aca="false">MAX(0,G73-F73)</f>
        <v>0</v>
      </c>
      <c r="J73" s="9" t="str">
        <f aca="false">IF(F73&lt;=G73,"REORDER","OK")</f>
        <v>OK</v>
      </c>
    </row>
    <row r="74" customFormat="false" ht="15" hidden="false" customHeight="false" outlineLevel="0" collapsed="false">
      <c r="A74" s="9" t="str">
        <f aca="false">Inventory!A68</f>
        <v>P017</v>
      </c>
      <c r="B74" s="9" t="str">
        <f aca="false">INDEX(Products!$B$2:$B$26,MATCH(A74,Products!$A$2:$A$26,0))</f>
        <v>Denim Jacket</v>
      </c>
      <c r="C74" s="9" t="str">
        <f aca="false">INDEX(Products!$C$2:$C$26,MATCH(A74,Products!$A$2:$A$26,0))</f>
        <v>Home &amp; Kitchen</v>
      </c>
      <c r="D74" s="9" t="str">
        <f aca="false">Inventory!B68</f>
        <v>W3</v>
      </c>
      <c r="E74" s="9" t="str">
        <f aca="false">INDEX(Warehouses!$B$2:$B$5,MATCH(D74,Warehouses!$A$2:$A$5,0))</f>
        <v>East DC</v>
      </c>
      <c r="F74" s="9" t="n">
        <f aca="false">Inventory!C68</f>
        <v>148</v>
      </c>
      <c r="G74" s="9" t="n">
        <f aca="false">Inventory!D68</f>
        <v>131</v>
      </c>
      <c r="H74" s="9" t="n">
        <f aca="false">Inventory!E68</f>
        <v>27</v>
      </c>
      <c r="I74" s="10" t="n">
        <f aca="false">MAX(0,G74-F74)</f>
        <v>0</v>
      </c>
      <c r="J74" s="9" t="str">
        <f aca="false">IF(F74&lt;=G74,"REORDER","OK")</f>
        <v>OK</v>
      </c>
    </row>
    <row r="75" customFormat="false" ht="15" hidden="false" customHeight="false" outlineLevel="0" collapsed="false">
      <c r="A75" s="9" t="str">
        <f aca="false">Inventory!A69</f>
        <v>P017</v>
      </c>
      <c r="B75" s="9" t="str">
        <f aca="false">INDEX(Products!$B$2:$B$26,MATCH(A75,Products!$A$2:$A$26,0))</f>
        <v>Denim Jacket</v>
      </c>
      <c r="C75" s="9" t="str">
        <f aca="false">INDEX(Products!$C$2:$C$26,MATCH(A75,Products!$A$2:$A$26,0))</f>
        <v>Home &amp; Kitchen</v>
      </c>
      <c r="D75" s="9" t="str">
        <f aca="false">Inventory!B69</f>
        <v>W4</v>
      </c>
      <c r="E75" s="9" t="str">
        <f aca="false">INDEX(Warehouses!$B$2:$B$5,MATCH(D75,Warehouses!$A$2:$A$5,0))</f>
        <v>West DC</v>
      </c>
      <c r="F75" s="9" t="n">
        <f aca="false">Inventory!C69</f>
        <v>161</v>
      </c>
      <c r="G75" s="9" t="n">
        <f aca="false">Inventory!D69</f>
        <v>143</v>
      </c>
      <c r="H75" s="9" t="n">
        <f aca="false">Inventory!E69</f>
        <v>36</v>
      </c>
      <c r="I75" s="10" t="n">
        <f aca="false">MAX(0,G75-F75)</f>
        <v>0</v>
      </c>
      <c r="J75" s="9" t="str">
        <f aca="false">IF(F75&lt;=G75,"REORDER","OK")</f>
        <v>OK</v>
      </c>
    </row>
    <row r="76" customFormat="false" ht="15" hidden="false" customHeight="false" outlineLevel="0" collapsed="false">
      <c r="A76" s="9" t="str">
        <f aca="false">Inventory!A70</f>
        <v>P018</v>
      </c>
      <c r="B76" s="9" t="str">
        <f aca="false">INDEX(Products!$B$2:$B$26,MATCH(A76,Products!$A$2:$A$26,0))</f>
        <v>Running Shoes</v>
      </c>
      <c r="C76" s="9" t="str">
        <f aca="false">INDEX(Products!$C$2:$C$26,MATCH(A76,Products!$A$2:$A$26,0))</f>
        <v>Office Supplies</v>
      </c>
      <c r="D76" s="9" t="str">
        <f aca="false">Inventory!B70</f>
        <v>W1</v>
      </c>
      <c r="E76" s="9" t="str">
        <f aca="false">INDEX(Warehouses!$B$2:$B$5,MATCH(D76,Warehouses!$A$2:$A$5,0))</f>
        <v>North DC</v>
      </c>
      <c r="F76" s="9" t="n">
        <f aca="false">Inventory!C70</f>
        <v>392</v>
      </c>
      <c r="G76" s="9" t="n">
        <f aca="false">Inventory!D70</f>
        <v>181</v>
      </c>
      <c r="H76" s="9" t="n">
        <f aca="false">Inventory!E70</f>
        <v>95</v>
      </c>
      <c r="I76" s="10" t="n">
        <f aca="false">MAX(0,G76-F76)</f>
        <v>0</v>
      </c>
      <c r="J76" s="9" t="str">
        <f aca="false">IF(F76&lt;=G76,"REORDER","OK")</f>
        <v>OK</v>
      </c>
    </row>
    <row r="77" customFormat="false" ht="15" hidden="false" customHeight="false" outlineLevel="0" collapsed="false">
      <c r="A77" s="9" t="str">
        <f aca="false">Inventory!A71</f>
        <v>P018</v>
      </c>
      <c r="B77" s="9" t="str">
        <f aca="false">INDEX(Products!$B$2:$B$26,MATCH(A77,Products!$A$2:$A$26,0))</f>
        <v>Running Shoes</v>
      </c>
      <c r="C77" s="9" t="str">
        <f aca="false">INDEX(Products!$C$2:$C$26,MATCH(A77,Products!$A$2:$A$26,0))</f>
        <v>Office Supplies</v>
      </c>
      <c r="D77" s="9" t="str">
        <f aca="false">Inventory!B71</f>
        <v>W2</v>
      </c>
      <c r="E77" s="9" t="str">
        <f aca="false">INDEX(Warehouses!$B$2:$B$5,MATCH(D77,Warehouses!$A$2:$A$5,0))</f>
        <v>South DC</v>
      </c>
      <c r="F77" s="9" t="n">
        <f aca="false">Inventory!C71</f>
        <v>136</v>
      </c>
      <c r="G77" s="9" t="n">
        <f aca="false">Inventory!D71</f>
        <v>63</v>
      </c>
      <c r="H77" s="9" t="n">
        <f aca="false">Inventory!E71</f>
        <v>29</v>
      </c>
      <c r="I77" s="10" t="n">
        <f aca="false">MAX(0,G77-F77)</f>
        <v>0</v>
      </c>
      <c r="J77" s="9" t="str">
        <f aca="false">IF(F77&lt;=G77,"REORDER","OK")</f>
        <v>OK</v>
      </c>
    </row>
    <row r="78" customFormat="false" ht="15" hidden="false" customHeight="false" outlineLevel="0" collapsed="false">
      <c r="A78" s="9" t="str">
        <f aca="false">Inventory!A72</f>
        <v>P018</v>
      </c>
      <c r="B78" s="9" t="str">
        <f aca="false">INDEX(Products!$B$2:$B$26,MATCH(A78,Products!$A$2:$A$26,0))</f>
        <v>Running Shoes</v>
      </c>
      <c r="C78" s="9" t="str">
        <f aca="false">INDEX(Products!$C$2:$C$26,MATCH(A78,Products!$A$2:$A$26,0))</f>
        <v>Office Supplies</v>
      </c>
      <c r="D78" s="9" t="str">
        <f aca="false">Inventory!B72</f>
        <v>W3</v>
      </c>
      <c r="E78" s="9" t="str">
        <f aca="false">INDEX(Warehouses!$B$2:$B$5,MATCH(D78,Warehouses!$A$2:$A$5,0))</f>
        <v>East DC</v>
      </c>
      <c r="F78" s="9" t="n">
        <f aca="false">Inventory!C72</f>
        <v>142</v>
      </c>
      <c r="G78" s="9" t="n">
        <f aca="false">Inventory!D72</f>
        <v>124</v>
      </c>
      <c r="H78" s="9" t="n">
        <f aca="false">Inventory!E72</f>
        <v>63</v>
      </c>
      <c r="I78" s="10" t="n">
        <f aca="false">MAX(0,G78-F78)</f>
        <v>0</v>
      </c>
      <c r="J78" s="9" t="str">
        <f aca="false">IF(F78&lt;=G78,"REORDER","OK")</f>
        <v>OK</v>
      </c>
    </row>
    <row r="79" customFormat="false" ht="15" hidden="false" customHeight="false" outlineLevel="0" collapsed="false">
      <c r="A79" s="9" t="str">
        <f aca="false">Inventory!A73</f>
        <v>P018</v>
      </c>
      <c r="B79" s="9" t="str">
        <f aca="false">INDEX(Products!$B$2:$B$26,MATCH(A79,Products!$A$2:$A$26,0))</f>
        <v>Running Shoes</v>
      </c>
      <c r="C79" s="9" t="str">
        <f aca="false">INDEX(Products!$C$2:$C$26,MATCH(A79,Products!$A$2:$A$26,0))</f>
        <v>Office Supplies</v>
      </c>
      <c r="D79" s="9" t="str">
        <f aca="false">Inventory!B73</f>
        <v>W4</v>
      </c>
      <c r="E79" s="9" t="str">
        <f aca="false">INDEX(Warehouses!$B$2:$B$5,MATCH(D79,Warehouses!$A$2:$A$5,0))</f>
        <v>West DC</v>
      </c>
      <c r="F79" s="9" t="n">
        <f aca="false">Inventory!C73</f>
        <v>179</v>
      </c>
      <c r="G79" s="9" t="n">
        <f aca="false">Inventory!D73</f>
        <v>100</v>
      </c>
      <c r="H79" s="9" t="n">
        <f aca="false">Inventory!E73</f>
        <v>41</v>
      </c>
      <c r="I79" s="10" t="n">
        <f aca="false">MAX(0,G79-F79)</f>
        <v>0</v>
      </c>
      <c r="J79" s="9" t="str">
        <f aca="false">IF(F79&lt;=G79,"REORDER","OK")</f>
        <v>OK</v>
      </c>
    </row>
    <row r="80" customFormat="false" ht="15" hidden="false" customHeight="false" outlineLevel="0" collapsed="false">
      <c r="A80" s="9" t="str">
        <f aca="false">Inventory!A74</f>
        <v>P019</v>
      </c>
      <c r="B80" s="9" t="str">
        <f aca="false">INDEX(Products!$B$2:$B$26,MATCH(A80,Products!$A$2:$A$26,0))</f>
        <v>Wool Socks (3-pack)</v>
      </c>
      <c r="C80" s="9" t="str">
        <f aca="false">INDEX(Products!$C$2:$C$26,MATCH(A80,Products!$A$2:$A$26,0))</f>
        <v>Apparel</v>
      </c>
      <c r="D80" s="9" t="str">
        <f aca="false">Inventory!B74</f>
        <v>W1</v>
      </c>
      <c r="E80" s="9" t="str">
        <f aca="false">INDEX(Warehouses!$B$2:$B$5,MATCH(D80,Warehouses!$A$2:$A$5,0))</f>
        <v>North DC</v>
      </c>
      <c r="F80" s="9" t="n">
        <f aca="false">Inventory!C74</f>
        <v>96</v>
      </c>
      <c r="G80" s="9" t="n">
        <f aca="false">Inventory!D74</f>
        <v>80</v>
      </c>
      <c r="H80" s="9" t="n">
        <f aca="false">Inventory!E74</f>
        <v>22</v>
      </c>
      <c r="I80" s="10" t="n">
        <f aca="false">MAX(0,G80-F80)</f>
        <v>0</v>
      </c>
      <c r="J80" s="9" t="str">
        <f aca="false">IF(F80&lt;=G80,"REORDER","OK")</f>
        <v>OK</v>
      </c>
    </row>
    <row r="81" customFormat="false" ht="15" hidden="false" customHeight="false" outlineLevel="0" collapsed="false">
      <c r="A81" s="9" t="str">
        <f aca="false">Inventory!A75</f>
        <v>P019</v>
      </c>
      <c r="B81" s="9" t="str">
        <f aca="false">INDEX(Products!$B$2:$B$26,MATCH(A81,Products!$A$2:$A$26,0))</f>
        <v>Wool Socks (3-pack)</v>
      </c>
      <c r="C81" s="9" t="str">
        <f aca="false">INDEX(Products!$C$2:$C$26,MATCH(A81,Products!$A$2:$A$26,0))</f>
        <v>Apparel</v>
      </c>
      <c r="D81" s="9" t="str">
        <f aca="false">Inventory!B75</f>
        <v>W2</v>
      </c>
      <c r="E81" s="9" t="str">
        <f aca="false">INDEX(Warehouses!$B$2:$B$5,MATCH(D81,Warehouses!$A$2:$A$5,0))</f>
        <v>South DC</v>
      </c>
      <c r="F81" s="9" t="n">
        <f aca="false">Inventory!C75</f>
        <v>389</v>
      </c>
      <c r="G81" s="9" t="n">
        <f aca="false">Inventory!D75</f>
        <v>176</v>
      </c>
      <c r="H81" s="9" t="n">
        <f aca="false">Inventory!E75</f>
        <v>32</v>
      </c>
      <c r="I81" s="10" t="n">
        <f aca="false">MAX(0,G81-F81)</f>
        <v>0</v>
      </c>
      <c r="J81" s="9" t="str">
        <f aca="false">IF(F81&lt;=G81,"REORDER","OK")</f>
        <v>OK</v>
      </c>
    </row>
    <row r="82" customFormat="false" ht="15" hidden="false" customHeight="false" outlineLevel="0" collapsed="false">
      <c r="A82" s="9" t="str">
        <f aca="false">Inventory!A76</f>
        <v>P019</v>
      </c>
      <c r="B82" s="9" t="str">
        <f aca="false">INDEX(Products!$B$2:$B$26,MATCH(A82,Products!$A$2:$A$26,0))</f>
        <v>Wool Socks (3-pack)</v>
      </c>
      <c r="C82" s="9" t="str">
        <f aca="false">INDEX(Products!$C$2:$C$26,MATCH(A82,Products!$A$2:$A$26,0))</f>
        <v>Apparel</v>
      </c>
      <c r="D82" s="9" t="str">
        <f aca="false">Inventory!B76</f>
        <v>W3</v>
      </c>
      <c r="E82" s="9" t="str">
        <f aca="false">INDEX(Warehouses!$B$2:$B$5,MATCH(D82,Warehouses!$A$2:$A$5,0))</f>
        <v>East DC</v>
      </c>
      <c r="F82" s="9" t="n">
        <f aca="false">Inventory!C76</f>
        <v>60</v>
      </c>
      <c r="G82" s="9" t="n">
        <f aca="false">Inventory!D76</f>
        <v>48</v>
      </c>
      <c r="H82" s="9" t="n">
        <f aca="false">Inventory!E76</f>
        <v>15</v>
      </c>
      <c r="I82" s="10" t="n">
        <f aca="false">MAX(0,G82-F82)</f>
        <v>0</v>
      </c>
      <c r="J82" s="9" t="str">
        <f aca="false">IF(F82&lt;=G82,"REORDER","OK")</f>
        <v>OK</v>
      </c>
    </row>
    <row r="83" customFormat="false" ht="15" hidden="false" customHeight="false" outlineLevel="0" collapsed="false">
      <c r="A83" s="9" t="str">
        <f aca="false">Inventory!A77</f>
        <v>P019</v>
      </c>
      <c r="B83" s="9" t="str">
        <f aca="false">INDEX(Products!$B$2:$B$26,MATCH(A83,Products!$A$2:$A$26,0))</f>
        <v>Wool Socks (3-pack)</v>
      </c>
      <c r="C83" s="9" t="str">
        <f aca="false">INDEX(Products!$C$2:$C$26,MATCH(A83,Products!$A$2:$A$26,0))</f>
        <v>Apparel</v>
      </c>
      <c r="D83" s="9" t="str">
        <f aca="false">Inventory!B77</f>
        <v>W4</v>
      </c>
      <c r="E83" s="9" t="str">
        <f aca="false">INDEX(Warehouses!$B$2:$B$5,MATCH(D83,Warehouses!$A$2:$A$5,0))</f>
        <v>West DC</v>
      </c>
      <c r="F83" s="9" t="n">
        <f aca="false">Inventory!C77</f>
        <v>626</v>
      </c>
      <c r="G83" s="9" t="n">
        <f aca="false">Inventory!D77</f>
        <v>305</v>
      </c>
      <c r="H83" s="9" t="n">
        <f aca="false">Inventory!E77</f>
        <v>89</v>
      </c>
      <c r="I83" s="10" t="n">
        <f aca="false">MAX(0,G83-F83)</f>
        <v>0</v>
      </c>
      <c r="J83" s="9" t="str">
        <f aca="false">IF(F83&lt;=G83,"REORDER","OK")</f>
        <v>OK</v>
      </c>
    </row>
    <row r="84" customFormat="false" ht="15" hidden="false" customHeight="false" outlineLevel="0" collapsed="false">
      <c r="A84" s="9" t="str">
        <f aca="false">Inventory!A78</f>
        <v>P020</v>
      </c>
      <c r="B84" s="9" t="str">
        <f aca="false">INDEX(Products!$B$2:$B$26,MATCH(A84,Products!$A$2:$A$26,0))</f>
        <v>Baseball Cap</v>
      </c>
      <c r="C84" s="9" t="str">
        <f aca="false">INDEX(Products!$C$2:$C$26,MATCH(A84,Products!$A$2:$A$26,0))</f>
        <v>Tools</v>
      </c>
      <c r="D84" s="9" t="str">
        <f aca="false">Inventory!B78</f>
        <v>W1</v>
      </c>
      <c r="E84" s="9" t="str">
        <f aca="false">INDEX(Warehouses!$B$2:$B$5,MATCH(D84,Warehouses!$A$2:$A$5,0))</f>
        <v>North DC</v>
      </c>
      <c r="F84" s="9" t="n">
        <f aca="false">Inventory!C78</f>
        <v>87</v>
      </c>
      <c r="G84" s="9" t="n">
        <f aca="false">Inventory!D78</f>
        <v>110</v>
      </c>
      <c r="H84" s="9" t="n">
        <f aca="false">Inventory!E78</f>
        <v>74</v>
      </c>
      <c r="I84" s="10" t="n">
        <f aca="false">MAX(0,G84-F84)</f>
        <v>23</v>
      </c>
      <c r="J84" s="9" t="str">
        <f aca="false">IF(F84&lt;=G84,"REORDER","OK")</f>
        <v>REORDER</v>
      </c>
    </row>
    <row r="85" customFormat="false" ht="15" hidden="false" customHeight="false" outlineLevel="0" collapsed="false">
      <c r="A85" s="9" t="str">
        <f aca="false">Inventory!A79</f>
        <v>P020</v>
      </c>
      <c r="B85" s="9" t="str">
        <f aca="false">INDEX(Products!$B$2:$B$26,MATCH(A85,Products!$A$2:$A$26,0))</f>
        <v>Baseball Cap</v>
      </c>
      <c r="C85" s="9" t="str">
        <f aca="false">INDEX(Products!$C$2:$C$26,MATCH(A85,Products!$A$2:$A$26,0))</f>
        <v>Tools</v>
      </c>
      <c r="D85" s="9" t="str">
        <f aca="false">Inventory!B79</f>
        <v>W2</v>
      </c>
      <c r="E85" s="9" t="str">
        <f aca="false">INDEX(Warehouses!$B$2:$B$5,MATCH(D85,Warehouses!$A$2:$A$5,0))</f>
        <v>South DC</v>
      </c>
      <c r="F85" s="9" t="n">
        <f aca="false">Inventory!C79</f>
        <v>36</v>
      </c>
      <c r="G85" s="9" t="n">
        <f aca="false">Inventory!D79</f>
        <v>38</v>
      </c>
      <c r="H85" s="9" t="n">
        <f aca="false">Inventory!E79</f>
        <v>24</v>
      </c>
      <c r="I85" s="10" t="n">
        <f aca="false">MAX(0,G85-F85)</f>
        <v>2</v>
      </c>
      <c r="J85" s="9" t="str">
        <f aca="false">IF(F85&lt;=G85,"REORDER","OK")</f>
        <v>REORDER</v>
      </c>
    </row>
    <row r="86" customFormat="false" ht="15" hidden="false" customHeight="false" outlineLevel="0" collapsed="false">
      <c r="A86" s="9" t="str">
        <f aca="false">Inventory!A80</f>
        <v>P020</v>
      </c>
      <c r="B86" s="9" t="str">
        <f aca="false">INDEX(Products!$B$2:$B$26,MATCH(A86,Products!$A$2:$A$26,0))</f>
        <v>Baseball Cap</v>
      </c>
      <c r="C86" s="9" t="str">
        <f aca="false">INDEX(Products!$C$2:$C$26,MATCH(A86,Products!$A$2:$A$26,0))</f>
        <v>Tools</v>
      </c>
      <c r="D86" s="9" t="str">
        <f aca="false">Inventory!B80</f>
        <v>W3</v>
      </c>
      <c r="E86" s="9" t="str">
        <f aca="false">INDEX(Warehouses!$B$2:$B$5,MATCH(D86,Warehouses!$A$2:$A$5,0))</f>
        <v>East DC</v>
      </c>
      <c r="F86" s="9" t="n">
        <f aca="false">Inventory!C80</f>
        <v>120</v>
      </c>
      <c r="G86" s="9" t="n">
        <f aca="false">Inventory!D80</f>
        <v>64</v>
      </c>
      <c r="H86" s="9" t="n">
        <f aca="false">Inventory!E80</f>
        <v>35</v>
      </c>
      <c r="I86" s="10" t="n">
        <f aca="false">MAX(0,G86-F86)</f>
        <v>0</v>
      </c>
      <c r="J86" s="9" t="str">
        <f aca="false">IF(F86&lt;=G86,"REORDER","OK")</f>
        <v>OK</v>
      </c>
    </row>
    <row r="87" customFormat="false" ht="15" hidden="false" customHeight="false" outlineLevel="0" collapsed="false">
      <c r="A87" s="9" t="str">
        <f aca="false">Inventory!A81</f>
        <v>P020</v>
      </c>
      <c r="B87" s="9" t="str">
        <f aca="false">INDEX(Products!$B$2:$B$26,MATCH(A87,Products!$A$2:$A$26,0))</f>
        <v>Baseball Cap</v>
      </c>
      <c r="C87" s="9" t="str">
        <f aca="false">INDEX(Products!$C$2:$C$26,MATCH(A87,Products!$A$2:$A$26,0))</f>
        <v>Tools</v>
      </c>
      <c r="D87" s="9" t="str">
        <f aca="false">Inventory!B81</f>
        <v>W4</v>
      </c>
      <c r="E87" s="9" t="str">
        <f aca="false">INDEX(Warehouses!$B$2:$B$5,MATCH(D87,Warehouses!$A$2:$A$5,0))</f>
        <v>West DC</v>
      </c>
      <c r="F87" s="9" t="n">
        <f aca="false">Inventory!C81</f>
        <v>103</v>
      </c>
      <c r="G87" s="9" t="n">
        <f aca="false">Inventory!D81</f>
        <v>71</v>
      </c>
      <c r="H87" s="9" t="n">
        <f aca="false">Inventory!E81</f>
        <v>44</v>
      </c>
      <c r="I87" s="10" t="n">
        <f aca="false">MAX(0,G87-F87)</f>
        <v>0</v>
      </c>
      <c r="J87" s="9" t="str">
        <f aca="false">IF(F87&lt;=G87,"REORDER","OK")</f>
        <v>OK</v>
      </c>
    </row>
    <row r="88" customFormat="false" ht="15" hidden="false" customHeight="false" outlineLevel="0" collapsed="false">
      <c r="A88" s="9" t="str">
        <f aca="false">Inventory!A82</f>
        <v>P021</v>
      </c>
      <c r="B88" s="9" t="str">
        <f aca="false">INDEX(Products!$B$2:$B$26,MATCH(A88,Products!$A$2:$A$26,0))</f>
        <v>Cordless Drill</v>
      </c>
      <c r="C88" s="9" t="str">
        <f aca="false">INDEX(Products!$C$2:$C$26,MATCH(A88,Products!$A$2:$A$26,0))</f>
        <v>Electronics</v>
      </c>
      <c r="D88" s="9" t="str">
        <f aca="false">Inventory!B82</f>
        <v>W1</v>
      </c>
      <c r="E88" s="9" t="str">
        <f aca="false">INDEX(Warehouses!$B$2:$B$5,MATCH(D88,Warehouses!$A$2:$A$5,0))</f>
        <v>North DC</v>
      </c>
      <c r="F88" s="9" t="n">
        <f aca="false">Inventory!C82</f>
        <v>472</v>
      </c>
      <c r="G88" s="9" t="n">
        <f aca="false">Inventory!D82</f>
        <v>224</v>
      </c>
      <c r="H88" s="9" t="n">
        <f aca="false">Inventory!E82</f>
        <v>72</v>
      </c>
      <c r="I88" s="10" t="n">
        <f aca="false">MAX(0,G88-F88)</f>
        <v>0</v>
      </c>
      <c r="J88" s="9" t="str">
        <f aca="false">IF(F88&lt;=G88,"REORDER","OK")</f>
        <v>OK</v>
      </c>
    </row>
    <row r="89" customFormat="false" ht="15" hidden="false" customHeight="false" outlineLevel="0" collapsed="false">
      <c r="A89" s="9" t="str">
        <f aca="false">Inventory!A83</f>
        <v>P021</v>
      </c>
      <c r="B89" s="9" t="str">
        <f aca="false">INDEX(Products!$B$2:$B$26,MATCH(A89,Products!$A$2:$A$26,0))</f>
        <v>Cordless Drill</v>
      </c>
      <c r="C89" s="9" t="str">
        <f aca="false">INDEX(Products!$C$2:$C$26,MATCH(A89,Products!$A$2:$A$26,0))</f>
        <v>Electronics</v>
      </c>
      <c r="D89" s="9" t="str">
        <f aca="false">Inventory!B83</f>
        <v>W2</v>
      </c>
      <c r="E89" s="9" t="str">
        <f aca="false">INDEX(Warehouses!$B$2:$B$5,MATCH(D89,Warehouses!$A$2:$A$5,0))</f>
        <v>South DC</v>
      </c>
      <c r="F89" s="9" t="n">
        <f aca="false">Inventory!C83</f>
        <v>295</v>
      </c>
      <c r="G89" s="9" t="n">
        <f aca="false">Inventory!D83</f>
        <v>185</v>
      </c>
      <c r="H89" s="9" t="n">
        <f aca="false">Inventory!E83</f>
        <v>63</v>
      </c>
      <c r="I89" s="10" t="n">
        <f aca="false">MAX(0,G89-F89)</f>
        <v>0</v>
      </c>
      <c r="J89" s="9" t="str">
        <f aca="false">IF(F89&lt;=G89,"REORDER","OK")</f>
        <v>OK</v>
      </c>
    </row>
    <row r="90" customFormat="false" ht="15" hidden="false" customHeight="false" outlineLevel="0" collapsed="false">
      <c r="A90" s="9" t="str">
        <f aca="false">Inventory!A84</f>
        <v>P021</v>
      </c>
      <c r="B90" s="9" t="str">
        <f aca="false">INDEX(Products!$B$2:$B$26,MATCH(A90,Products!$A$2:$A$26,0))</f>
        <v>Cordless Drill</v>
      </c>
      <c r="C90" s="9" t="str">
        <f aca="false">INDEX(Products!$C$2:$C$26,MATCH(A90,Products!$A$2:$A$26,0))</f>
        <v>Electronics</v>
      </c>
      <c r="D90" s="9" t="str">
        <f aca="false">Inventory!B84</f>
        <v>W3</v>
      </c>
      <c r="E90" s="9" t="str">
        <f aca="false">INDEX(Warehouses!$B$2:$B$5,MATCH(D90,Warehouses!$A$2:$A$5,0))</f>
        <v>East DC</v>
      </c>
      <c r="F90" s="9" t="n">
        <f aca="false">Inventory!C84</f>
        <v>63</v>
      </c>
      <c r="G90" s="9" t="n">
        <f aca="false">Inventory!D84</f>
        <v>43</v>
      </c>
      <c r="H90" s="9" t="n">
        <f aca="false">Inventory!E84</f>
        <v>9</v>
      </c>
      <c r="I90" s="10" t="n">
        <f aca="false">MAX(0,G90-F90)</f>
        <v>0</v>
      </c>
      <c r="J90" s="9" t="str">
        <f aca="false">IF(F90&lt;=G90,"REORDER","OK")</f>
        <v>OK</v>
      </c>
    </row>
    <row r="91" customFormat="false" ht="15" hidden="false" customHeight="false" outlineLevel="0" collapsed="false">
      <c r="A91" s="9" t="str">
        <f aca="false">Inventory!A85</f>
        <v>P021</v>
      </c>
      <c r="B91" s="9" t="str">
        <f aca="false">INDEX(Products!$B$2:$B$26,MATCH(A91,Products!$A$2:$A$26,0))</f>
        <v>Cordless Drill</v>
      </c>
      <c r="C91" s="9" t="str">
        <f aca="false">INDEX(Products!$C$2:$C$26,MATCH(A91,Products!$A$2:$A$26,0))</f>
        <v>Electronics</v>
      </c>
      <c r="D91" s="9" t="str">
        <f aca="false">Inventory!B85</f>
        <v>W4</v>
      </c>
      <c r="E91" s="9" t="str">
        <f aca="false">INDEX(Warehouses!$B$2:$B$5,MATCH(D91,Warehouses!$A$2:$A$5,0))</f>
        <v>West DC</v>
      </c>
      <c r="F91" s="9" t="n">
        <f aca="false">Inventory!C85</f>
        <v>223</v>
      </c>
      <c r="G91" s="9" t="n">
        <f aca="false">Inventory!D85</f>
        <v>131</v>
      </c>
      <c r="H91" s="9" t="n">
        <f aca="false">Inventory!E85</f>
        <v>42</v>
      </c>
      <c r="I91" s="10" t="n">
        <f aca="false">MAX(0,G91-F91)</f>
        <v>0</v>
      </c>
      <c r="J91" s="9" t="str">
        <f aca="false">IF(F91&lt;=G91,"REORDER","OK")</f>
        <v>OK</v>
      </c>
    </row>
    <row r="92" customFormat="false" ht="15" hidden="false" customHeight="false" outlineLevel="0" collapsed="false">
      <c r="A92" s="9" t="str">
        <f aca="false">Inventory!A86</f>
        <v>P022</v>
      </c>
      <c r="B92" s="9" t="str">
        <f aca="false">INDEX(Products!$B$2:$B$26,MATCH(A92,Products!$A$2:$A$26,0))</f>
        <v>Hammer</v>
      </c>
      <c r="C92" s="9" t="str">
        <f aca="false">INDEX(Products!$C$2:$C$26,MATCH(A92,Products!$A$2:$A$26,0))</f>
        <v>Home &amp; Kitchen</v>
      </c>
      <c r="D92" s="9" t="str">
        <f aca="false">Inventory!B86</f>
        <v>W1</v>
      </c>
      <c r="E92" s="9" t="str">
        <f aca="false">INDEX(Warehouses!$B$2:$B$5,MATCH(D92,Warehouses!$A$2:$A$5,0))</f>
        <v>North DC</v>
      </c>
      <c r="F92" s="9" t="n">
        <f aca="false">Inventory!C86</f>
        <v>172</v>
      </c>
      <c r="G92" s="9" t="n">
        <f aca="false">Inventory!D86</f>
        <v>122</v>
      </c>
      <c r="H92" s="9" t="n">
        <f aca="false">Inventory!E86</f>
        <v>37</v>
      </c>
      <c r="I92" s="10" t="n">
        <f aca="false">MAX(0,G92-F92)</f>
        <v>0</v>
      </c>
      <c r="J92" s="9" t="str">
        <f aca="false">IF(F92&lt;=G92,"REORDER","OK")</f>
        <v>OK</v>
      </c>
    </row>
    <row r="93" customFormat="false" ht="15" hidden="false" customHeight="false" outlineLevel="0" collapsed="false">
      <c r="A93" s="9" t="str">
        <f aca="false">Inventory!A87</f>
        <v>P022</v>
      </c>
      <c r="B93" s="9" t="str">
        <f aca="false">INDEX(Products!$B$2:$B$26,MATCH(A93,Products!$A$2:$A$26,0))</f>
        <v>Hammer</v>
      </c>
      <c r="C93" s="9" t="str">
        <f aca="false">INDEX(Products!$C$2:$C$26,MATCH(A93,Products!$A$2:$A$26,0))</f>
        <v>Home &amp; Kitchen</v>
      </c>
      <c r="D93" s="9" t="str">
        <f aca="false">Inventory!B87</f>
        <v>W2</v>
      </c>
      <c r="E93" s="9" t="str">
        <f aca="false">INDEX(Warehouses!$B$2:$B$5,MATCH(D93,Warehouses!$A$2:$A$5,0))</f>
        <v>South DC</v>
      </c>
      <c r="F93" s="9" t="n">
        <f aca="false">Inventory!C87</f>
        <v>114</v>
      </c>
      <c r="G93" s="9" t="n">
        <f aca="false">Inventory!D87</f>
        <v>93</v>
      </c>
      <c r="H93" s="9" t="n">
        <f aca="false">Inventory!E87</f>
        <v>21</v>
      </c>
      <c r="I93" s="10" t="n">
        <f aca="false">MAX(0,G93-F93)</f>
        <v>0</v>
      </c>
      <c r="J93" s="9" t="str">
        <f aca="false">IF(F93&lt;=G93,"REORDER","OK")</f>
        <v>OK</v>
      </c>
    </row>
    <row r="94" customFormat="false" ht="15" hidden="false" customHeight="false" outlineLevel="0" collapsed="false">
      <c r="A94" s="9" t="str">
        <f aca="false">Inventory!A88</f>
        <v>P022</v>
      </c>
      <c r="B94" s="9" t="str">
        <f aca="false">INDEX(Products!$B$2:$B$26,MATCH(A94,Products!$A$2:$A$26,0))</f>
        <v>Hammer</v>
      </c>
      <c r="C94" s="9" t="str">
        <f aca="false">INDEX(Products!$C$2:$C$26,MATCH(A94,Products!$A$2:$A$26,0))</f>
        <v>Home &amp; Kitchen</v>
      </c>
      <c r="D94" s="9" t="str">
        <f aca="false">Inventory!B88</f>
        <v>W3</v>
      </c>
      <c r="E94" s="9" t="str">
        <f aca="false">INDEX(Warehouses!$B$2:$B$5,MATCH(D94,Warehouses!$A$2:$A$5,0))</f>
        <v>East DC</v>
      </c>
      <c r="F94" s="9" t="n">
        <f aca="false">Inventory!C88</f>
        <v>107</v>
      </c>
      <c r="G94" s="9" t="n">
        <f aca="false">Inventory!D88</f>
        <v>60</v>
      </c>
      <c r="H94" s="9" t="n">
        <f aca="false">Inventory!E88</f>
        <v>12</v>
      </c>
      <c r="I94" s="10" t="n">
        <f aca="false">MAX(0,G94-F94)</f>
        <v>0</v>
      </c>
      <c r="J94" s="9" t="str">
        <f aca="false">IF(F94&lt;=G94,"REORDER","OK")</f>
        <v>OK</v>
      </c>
    </row>
    <row r="95" customFormat="false" ht="15" hidden="false" customHeight="false" outlineLevel="0" collapsed="false">
      <c r="A95" s="9" t="str">
        <f aca="false">Inventory!A89</f>
        <v>P022</v>
      </c>
      <c r="B95" s="9" t="str">
        <f aca="false">INDEX(Products!$B$2:$B$26,MATCH(A95,Products!$A$2:$A$26,0))</f>
        <v>Hammer</v>
      </c>
      <c r="C95" s="9" t="str">
        <f aca="false">INDEX(Products!$C$2:$C$26,MATCH(A95,Products!$A$2:$A$26,0))</f>
        <v>Home &amp; Kitchen</v>
      </c>
      <c r="D95" s="9" t="str">
        <f aca="false">Inventory!B89</f>
        <v>W4</v>
      </c>
      <c r="E95" s="9" t="str">
        <f aca="false">INDEX(Warehouses!$B$2:$B$5,MATCH(D95,Warehouses!$A$2:$A$5,0))</f>
        <v>West DC</v>
      </c>
      <c r="F95" s="9" t="n">
        <f aca="false">Inventory!C89</f>
        <v>283</v>
      </c>
      <c r="G95" s="9" t="n">
        <f aca="false">Inventory!D89</f>
        <v>139</v>
      </c>
      <c r="H95" s="9" t="n">
        <f aca="false">Inventory!E89</f>
        <v>32</v>
      </c>
      <c r="I95" s="10" t="n">
        <f aca="false">MAX(0,G95-F95)</f>
        <v>0</v>
      </c>
      <c r="J95" s="9" t="str">
        <f aca="false">IF(F95&lt;=G95,"REORDER","OK")</f>
        <v>OK</v>
      </c>
    </row>
    <row r="96" customFormat="false" ht="15" hidden="false" customHeight="false" outlineLevel="0" collapsed="false">
      <c r="A96" s="9" t="str">
        <f aca="false">Inventory!A90</f>
        <v>P023</v>
      </c>
      <c r="B96" s="9" t="str">
        <f aca="false">INDEX(Products!$B$2:$B$26,MATCH(A96,Products!$A$2:$A$26,0))</f>
        <v>Tool Box</v>
      </c>
      <c r="C96" s="9" t="str">
        <f aca="false">INDEX(Products!$C$2:$C$26,MATCH(A96,Products!$A$2:$A$26,0))</f>
        <v>Office Supplies</v>
      </c>
      <c r="D96" s="9" t="str">
        <f aca="false">Inventory!B90</f>
        <v>W1</v>
      </c>
      <c r="E96" s="9" t="str">
        <f aca="false">INDEX(Warehouses!$B$2:$B$5,MATCH(D96,Warehouses!$A$2:$A$5,0))</f>
        <v>North DC</v>
      </c>
      <c r="F96" s="9" t="n">
        <f aca="false">Inventory!C90</f>
        <v>278</v>
      </c>
      <c r="G96" s="9" t="n">
        <f aca="false">Inventory!D90</f>
        <v>199</v>
      </c>
      <c r="H96" s="9" t="n">
        <f aca="false">Inventory!E90</f>
        <v>59</v>
      </c>
      <c r="I96" s="10" t="n">
        <f aca="false">MAX(0,G96-F96)</f>
        <v>0</v>
      </c>
      <c r="J96" s="9" t="str">
        <f aca="false">IF(F96&lt;=G96,"REORDER","OK")</f>
        <v>OK</v>
      </c>
    </row>
    <row r="97" customFormat="false" ht="15" hidden="false" customHeight="false" outlineLevel="0" collapsed="false">
      <c r="A97" s="9" t="str">
        <f aca="false">Inventory!A91</f>
        <v>P023</v>
      </c>
      <c r="B97" s="9" t="str">
        <f aca="false">INDEX(Products!$B$2:$B$26,MATCH(A97,Products!$A$2:$A$26,0))</f>
        <v>Tool Box</v>
      </c>
      <c r="C97" s="9" t="str">
        <f aca="false">INDEX(Products!$C$2:$C$26,MATCH(A97,Products!$A$2:$A$26,0))</f>
        <v>Office Supplies</v>
      </c>
      <c r="D97" s="9" t="str">
        <f aca="false">Inventory!B91</f>
        <v>W2</v>
      </c>
      <c r="E97" s="9" t="str">
        <f aca="false">INDEX(Warehouses!$B$2:$B$5,MATCH(D97,Warehouses!$A$2:$A$5,0))</f>
        <v>South DC</v>
      </c>
      <c r="F97" s="9" t="n">
        <f aca="false">Inventory!C91</f>
        <v>310</v>
      </c>
      <c r="G97" s="9" t="n">
        <f aca="false">Inventory!D91</f>
        <v>158</v>
      </c>
      <c r="H97" s="9" t="n">
        <f aca="false">Inventory!E91</f>
        <v>35</v>
      </c>
      <c r="I97" s="10" t="n">
        <f aca="false">MAX(0,G97-F97)</f>
        <v>0</v>
      </c>
      <c r="J97" s="9" t="str">
        <f aca="false">IF(F97&lt;=G97,"REORDER","OK")</f>
        <v>OK</v>
      </c>
    </row>
    <row r="98" customFormat="false" ht="15" hidden="false" customHeight="false" outlineLevel="0" collapsed="false">
      <c r="A98" s="9" t="str">
        <f aca="false">Inventory!A92</f>
        <v>P023</v>
      </c>
      <c r="B98" s="9" t="str">
        <f aca="false">INDEX(Products!$B$2:$B$26,MATCH(A98,Products!$A$2:$A$26,0))</f>
        <v>Tool Box</v>
      </c>
      <c r="C98" s="9" t="str">
        <f aca="false">INDEX(Products!$C$2:$C$26,MATCH(A98,Products!$A$2:$A$26,0))</f>
        <v>Office Supplies</v>
      </c>
      <c r="D98" s="9" t="str">
        <f aca="false">Inventory!B92</f>
        <v>W3</v>
      </c>
      <c r="E98" s="9" t="str">
        <f aca="false">INDEX(Warehouses!$B$2:$B$5,MATCH(D98,Warehouses!$A$2:$A$5,0))</f>
        <v>East DC</v>
      </c>
      <c r="F98" s="9" t="n">
        <f aca="false">Inventory!C92</f>
        <v>397</v>
      </c>
      <c r="G98" s="9" t="n">
        <f aca="false">Inventory!D92</f>
        <v>252</v>
      </c>
      <c r="H98" s="9" t="n">
        <f aca="false">Inventory!E92</f>
        <v>75</v>
      </c>
      <c r="I98" s="10" t="n">
        <f aca="false">MAX(0,G98-F98)</f>
        <v>0</v>
      </c>
      <c r="J98" s="9" t="str">
        <f aca="false">IF(F98&lt;=G98,"REORDER","OK")</f>
        <v>OK</v>
      </c>
    </row>
    <row r="99" customFormat="false" ht="15" hidden="false" customHeight="false" outlineLevel="0" collapsed="false">
      <c r="A99" s="9" t="str">
        <f aca="false">Inventory!A93</f>
        <v>P023</v>
      </c>
      <c r="B99" s="9" t="str">
        <f aca="false">INDEX(Products!$B$2:$B$26,MATCH(A99,Products!$A$2:$A$26,0))</f>
        <v>Tool Box</v>
      </c>
      <c r="C99" s="9" t="str">
        <f aca="false">INDEX(Products!$C$2:$C$26,MATCH(A99,Products!$A$2:$A$26,0))</f>
        <v>Office Supplies</v>
      </c>
      <c r="D99" s="9" t="str">
        <f aca="false">Inventory!B93</f>
        <v>W4</v>
      </c>
      <c r="E99" s="9" t="str">
        <f aca="false">INDEX(Warehouses!$B$2:$B$5,MATCH(D99,Warehouses!$A$2:$A$5,0))</f>
        <v>West DC</v>
      </c>
      <c r="F99" s="9" t="n">
        <f aca="false">Inventory!C93</f>
        <v>83</v>
      </c>
      <c r="G99" s="9" t="n">
        <f aca="false">Inventory!D93</f>
        <v>279</v>
      </c>
      <c r="H99" s="9" t="n">
        <f aca="false">Inventory!E93</f>
        <v>72</v>
      </c>
      <c r="I99" s="10" t="n">
        <f aca="false">MAX(0,G99-F99)</f>
        <v>196</v>
      </c>
      <c r="J99" s="9" t="str">
        <f aca="false">IF(F99&lt;=G99,"REORDER","OK")</f>
        <v>REORDER</v>
      </c>
    </row>
    <row r="100" customFormat="false" ht="15" hidden="false" customHeight="false" outlineLevel="0" collapsed="false">
      <c r="A100" s="9" t="str">
        <f aca="false">Inventory!A94</f>
        <v>P024</v>
      </c>
      <c r="B100" s="9" t="str">
        <f aca="false">INDEX(Products!$B$2:$B$26,MATCH(A100,Products!$A$2:$A$26,0))</f>
        <v>Measuring Tape</v>
      </c>
      <c r="C100" s="9" t="str">
        <f aca="false">INDEX(Products!$C$2:$C$26,MATCH(A100,Products!$A$2:$A$26,0))</f>
        <v>Apparel</v>
      </c>
      <c r="D100" s="9" t="str">
        <f aca="false">Inventory!B94</f>
        <v>W1</v>
      </c>
      <c r="E100" s="9" t="str">
        <f aca="false">INDEX(Warehouses!$B$2:$B$5,MATCH(D100,Warehouses!$A$2:$A$5,0))</f>
        <v>North DC</v>
      </c>
      <c r="F100" s="9" t="n">
        <f aca="false">Inventory!C94</f>
        <v>171</v>
      </c>
      <c r="G100" s="9" t="n">
        <f aca="false">Inventory!D94</f>
        <v>127</v>
      </c>
      <c r="H100" s="9" t="n">
        <f aca="false">Inventory!E94</f>
        <v>53</v>
      </c>
      <c r="I100" s="10" t="n">
        <f aca="false">MAX(0,G100-F100)</f>
        <v>0</v>
      </c>
      <c r="J100" s="9" t="str">
        <f aca="false">IF(F100&lt;=G100,"REORDER","OK")</f>
        <v>OK</v>
      </c>
    </row>
    <row r="101" customFormat="false" ht="15" hidden="false" customHeight="false" outlineLevel="0" collapsed="false">
      <c r="A101" s="9" t="str">
        <f aca="false">Inventory!A95</f>
        <v>P024</v>
      </c>
      <c r="B101" s="9" t="str">
        <f aca="false">INDEX(Products!$B$2:$B$26,MATCH(A101,Products!$A$2:$A$26,0))</f>
        <v>Measuring Tape</v>
      </c>
      <c r="C101" s="9" t="str">
        <f aca="false">INDEX(Products!$C$2:$C$26,MATCH(A101,Products!$A$2:$A$26,0))</f>
        <v>Apparel</v>
      </c>
      <c r="D101" s="9" t="str">
        <f aca="false">Inventory!B95</f>
        <v>W2</v>
      </c>
      <c r="E101" s="9" t="str">
        <f aca="false">INDEX(Warehouses!$B$2:$B$5,MATCH(D101,Warehouses!$A$2:$A$5,0))</f>
        <v>South DC</v>
      </c>
      <c r="F101" s="9" t="n">
        <f aca="false">Inventory!C95</f>
        <v>70</v>
      </c>
      <c r="G101" s="9" t="n">
        <f aca="false">Inventory!D95</f>
        <v>105</v>
      </c>
      <c r="H101" s="9" t="n">
        <f aca="false">Inventory!E95</f>
        <v>46</v>
      </c>
      <c r="I101" s="10" t="n">
        <f aca="false">MAX(0,G101-F101)</f>
        <v>35</v>
      </c>
      <c r="J101" s="9" t="str">
        <f aca="false">IF(F101&lt;=G101,"REORDER","OK")</f>
        <v>REORDER</v>
      </c>
    </row>
    <row r="102" customFormat="false" ht="15" hidden="false" customHeight="false" outlineLevel="0" collapsed="false">
      <c r="A102" s="9" t="str">
        <f aca="false">Inventory!A96</f>
        <v>P024</v>
      </c>
      <c r="B102" s="9" t="str">
        <f aca="false">INDEX(Products!$B$2:$B$26,MATCH(A102,Products!$A$2:$A$26,0))</f>
        <v>Measuring Tape</v>
      </c>
      <c r="C102" s="9" t="str">
        <f aca="false">INDEX(Products!$C$2:$C$26,MATCH(A102,Products!$A$2:$A$26,0))</f>
        <v>Apparel</v>
      </c>
      <c r="D102" s="9" t="str">
        <f aca="false">Inventory!B96</f>
        <v>W3</v>
      </c>
      <c r="E102" s="9" t="str">
        <f aca="false">INDEX(Warehouses!$B$2:$B$5,MATCH(D102,Warehouses!$A$2:$A$5,0))</f>
        <v>East DC</v>
      </c>
      <c r="F102" s="9" t="n">
        <f aca="false">Inventory!C96</f>
        <v>142</v>
      </c>
      <c r="G102" s="9" t="n">
        <f aca="false">Inventory!D96</f>
        <v>94</v>
      </c>
      <c r="H102" s="9" t="n">
        <f aca="false">Inventory!E96</f>
        <v>35</v>
      </c>
      <c r="I102" s="10" t="n">
        <f aca="false">MAX(0,G102-F102)</f>
        <v>0</v>
      </c>
      <c r="J102" s="9" t="str">
        <f aca="false">IF(F102&lt;=G102,"REORDER","OK")</f>
        <v>OK</v>
      </c>
    </row>
    <row r="103" customFormat="false" ht="15" hidden="false" customHeight="false" outlineLevel="0" collapsed="false">
      <c r="A103" s="9" t="str">
        <f aca="false">Inventory!A97</f>
        <v>P024</v>
      </c>
      <c r="B103" s="9" t="str">
        <f aca="false">INDEX(Products!$B$2:$B$26,MATCH(A103,Products!$A$2:$A$26,0))</f>
        <v>Measuring Tape</v>
      </c>
      <c r="C103" s="9" t="str">
        <f aca="false">INDEX(Products!$C$2:$C$26,MATCH(A103,Products!$A$2:$A$26,0))</f>
        <v>Apparel</v>
      </c>
      <c r="D103" s="9" t="str">
        <f aca="false">Inventory!B97</f>
        <v>W4</v>
      </c>
      <c r="E103" s="9" t="str">
        <f aca="false">INDEX(Warehouses!$B$2:$B$5,MATCH(D103,Warehouses!$A$2:$A$5,0))</f>
        <v>West DC</v>
      </c>
      <c r="F103" s="9" t="n">
        <f aca="false">Inventory!C97</f>
        <v>116</v>
      </c>
      <c r="G103" s="9" t="n">
        <f aca="false">Inventory!D97</f>
        <v>196</v>
      </c>
      <c r="H103" s="9" t="n">
        <f aca="false">Inventory!E97</f>
        <v>85</v>
      </c>
      <c r="I103" s="10" t="n">
        <f aca="false">MAX(0,G103-F103)</f>
        <v>80</v>
      </c>
      <c r="J103" s="9" t="str">
        <f aca="false">IF(F103&lt;=G103,"REORDER","OK")</f>
        <v>REORDER</v>
      </c>
    </row>
    <row r="104" customFormat="false" ht="15" hidden="false" customHeight="false" outlineLevel="0" collapsed="false">
      <c r="A104" s="9" t="str">
        <f aca="false">Inventory!A98</f>
        <v>P025</v>
      </c>
      <c r="B104" s="9" t="str">
        <f aca="false">INDEX(Products!$B$2:$B$26,MATCH(A104,Products!$A$2:$A$26,0))</f>
        <v>Screwdriver Set</v>
      </c>
      <c r="C104" s="9" t="str">
        <f aca="false">INDEX(Products!$C$2:$C$26,MATCH(A104,Products!$A$2:$A$26,0))</f>
        <v>Tools</v>
      </c>
      <c r="D104" s="9" t="str">
        <f aca="false">Inventory!B98</f>
        <v>W1</v>
      </c>
      <c r="E104" s="9" t="str">
        <f aca="false">INDEX(Warehouses!$B$2:$B$5,MATCH(D104,Warehouses!$A$2:$A$5,0))</f>
        <v>North DC</v>
      </c>
      <c r="F104" s="9" t="n">
        <f aca="false">Inventory!C98</f>
        <v>389</v>
      </c>
      <c r="G104" s="9" t="n">
        <f aca="false">Inventory!D98</f>
        <v>366</v>
      </c>
      <c r="H104" s="9" t="n">
        <f aca="false">Inventory!E98</f>
        <v>97</v>
      </c>
      <c r="I104" s="10" t="n">
        <f aca="false">MAX(0,G104-F104)</f>
        <v>0</v>
      </c>
      <c r="J104" s="9" t="str">
        <f aca="false">IF(F104&lt;=G104,"REORDER","OK")</f>
        <v>OK</v>
      </c>
    </row>
    <row r="105" customFormat="false" ht="15" hidden="false" customHeight="false" outlineLevel="0" collapsed="false">
      <c r="A105" s="9" t="str">
        <f aca="false">Inventory!A99</f>
        <v>P025</v>
      </c>
      <c r="B105" s="9" t="str">
        <f aca="false">INDEX(Products!$B$2:$B$26,MATCH(A105,Products!$A$2:$A$26,0))</f>
        <v>Screwdriver Set</v>
      </c>
      <c r="C105" s="9" t="str">
        <f aca="false">INDEX(Products!$C$2:$C$26,MATCH(A105,Products!$A$2:$A$26,0))</f>
        <v>Tools</v>
      </c>
      <c r="D105" s="9" t="str">
        <f aca="false">Inventory!B99</f>
        <v>W2</v>
      </c>
      <c r="E105" s="9" t="str">
        <f aca="false">INDEX(Warehouses!$B$2:$B$5,MATCH(D105,Warehouses!$A$2:$A$5,0))</f>
        <v>South DC</v>
      </c>
      <c r="F105" s="9" t="n">
        <f aca="false">Inventory!C99</f>
        <v>373</v>
      </c>
      <c r="G105" s="9" t="n">
        <f aca="false">Inventory!D99</f>
        <v>273</v>
      </c>
      <c r="H105" s="9" t="n">
        <f aca="false">Inventory!E99</f>
        <v>44</v>
      </c>
      <c r="I105" s="10" t="n">
        <f aca="false">MAX(0,G105-F105)</f>
        <v>0</v>
      </c>
      <c r="J105" s="9" t="str">
        <f aca="false">IF(F105&lt;=G105,"REORDER","OK")</f>
        <v>OK</v>
      </c>
    </row>
    <row r="106" customFormat="false" ht="15" hidden="false" customHeight="false" outlineLevel="0" collapsed="false">
      <c r="A106" s="9" t="str">
        <f aca="false">Inventory!A100</f>
        <v>P025</v>
      </c>
      <c r="B106" s="9" t="str">
        <f aca="false">INDEX(Products!$B$2:$B$26,MATCH(A106,Products!$A$2:$A$26,0))</f>
        <v>Screwdriver Set</v>
      </c>
      <c r="C106" s="9" t="str">
        <f aca="false">INDEX(Products!$C$2:$C$26,MATCH(A106,Products!$A$2:$A$26,0))</f>
        <v>Tools</v>
      </c>
      <c r="D106" s="9" t="str">
        <f aca="false">Inventory!B100</f>
        <v>W3</v>
      </c>
      <c r="E106" s="9" t="str">
        <f aca="false">INDEX(Warehouses!$B$2:$B$5,MATCH(D106,Warehouses!$A$2:$A$5,0))</f>
        <v>East DC</v>
      </c>
      <c r="F106" s="9" t="n">
        <f aca="false">Inventory!C100</f>
        <v>87</v>
      </c>
      <c r="G106" s="9" t="n">
        <f aca="false">Inventory!D100</f>
        <v>56</v>
      </c>
      <c r="H106" s="9" t="n">
        <f aca="false">Inventory!E100</f>
        <v>15</v>
      </c>
      <c r="I106" s="10" t="n">
        <f aca="false">MAX(0,G106-F106)</f>
        <v>0</v>
      </c>
      <c r="J106" s="9" t="str">
        <f aca="false">IF(F106&lt;=G106,"REORDER","OK")</f>
        <v>OK</v>
      </c>
    </row>
    <row r="107" customFormat="false" ht="15" hidden="false" customHeight="false" outlineLevel="0" collapsed="false">
      <c r="A107" s="9" t="str">
        <f aca="false">Inventory!A101</f>
        <v>P025</v>
      </c>
      <c r="B107" s="9" t="str">
        <f aca="false">INDEX(Products!$B$2:$B$26,MATCH(A107,Products!$A$2:$A$26,0))</f>
        <v>Screwdriver Set</v>
      </c>
      <c r="C107" s="9" t="str">
        <f aca="false">INDEX(Products!$C$2:$C$26,MATCH(A107,Products!$A$2:$A$26,0))</f>
        <v>Tools</v>
      </c>
      <c r="D107" s="9" t="str">
        <f aca="false">Inventory!B101</f>
        <v>W4</v>
      </c>
      <c r="E107" s="9" t="str">
        <f aca="false">INDEX(Warehouses!$B$2:$B$5,MATCH(D107,Warehouses!$A$2:$A$5,0))</f>
        <v>West DC</v>
      </c>
      <c r="F107" s="9" t="n">
        <f aca="false">Inventory!C101</f>
        <v>132</v>
      </c>
      <c r="G107" s="9" t="n">
        <f aca="false">Inventory!D101</f>
        <v>95</v>
      </c>
      <c r="H107" s="9" t="n">
        <f aca="false">Inventory!E101</f>
        <v>16</v>
      </c>
      <c r="I107" s="10" t="n">
        <f aca="false">MAX(0,G107-F107)</f>
        <v>0</v>
      </c>
      <c r="J107" s="9" t="str">
        <f aca="false">IF(F107&lt;=G107,"REORDER","OK")</f>
        <v>OK</v>
      </c>
    </row>
  </sheetData>
  <conditionalFormatting sqref="J8:J107">
    <cfRule type="cellIs" priority="2" operator="equal" aboveAverage="0" equalAverage="0" bottom="0" percent="0" rank="0" text="" dxfId="0">
      <formula>"REORDER"</formula>
    </cfRule>
    <cfRule type="cellIs" priority="3" operator="equal" aboveAverage="0" equalAverage="0" bottom="0" percent="0" rank="0" text="" dxfId="1">
      <formula>"OK"</formula>
    </cfRule>
  </conditionalFormatting>
  <conditionalFormatting sqref="I8:I107">
    <cfRule type="colorScale" priority="4">
      <colorScale>
        <cfvo type="min" val="0"/>
        <cfvo type="max" val="0"/>
        <color rgb="FFC6E8C6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2" t="s">
        <v>19</v>
      </c>
      <c r="B1" s="12" t="s">
        <v>7</v>
      </c>
      <c r="C1" s="12" t="s">
        <v>8</v>
      </c>
      <c r="D1" s="12" t="s">
        <v>20</v>
      </c>
      <c r="E1" s="12" t="s">
        <v>21</v>
      </c>
    </row>
    <row r="2" customFormat="false" ht="15" hidden="false" customHeight="false" outlineLevel="0" collapsed="false">
      <c r="A2" s="9" t="s">
        <v>22</v>
      </c>
      <c r="B2" s="9" t="s">
        <v>23</v>
      </c>
      <c r="C2" s="9" t="s">
        <v>24</v>
      </c>
      <c r="D2" s="13" t="n">
        <v>62.82</v>
      </c>
      <c r="E2" s="13" t="n">
        <v>92.67</v>
      </c>
    </row>
    <row r="3" customFormat="false" ht="15" hidden="false" customHeight="false" outlineLevel="0" collapsed="false">
      <c r="A3" s="9" t="s">
        <v>25</v>
      </c>
      <c r="B3" s="9" t="s">
        <v>26</v>
      </c>
      <c r="C3" s="9" t="s">
        <v>27</v>
      </c>
      <c r="D3" s="13" t="n">
        <v>37.35</v>
      </c>
      <c r="E3" s="13" t="n">
        <v>64.24</v>
      </c>
    </row>
    <row r="4" customFormat="false" ht="15" hidden="false" customHeight="false" outlineLevel="0" collapsed="false">
      <c r="A4" s="9" t="s">
        <v>28</v>
      </c>
      <c r="B4" s="9" t="s">
        <v>29</v>
      </c>
      <c r="C4" s="9" t="s">
        <v>30</v>
      </c>
      <c r="D4" s="13" t="n">
        <v>69.25</v>
      </c>
      <c r="E4" s="13" t="n">
        <v>92.76</v>
      </c>
    </row>
    <row r="5" customFormat="false" ht="15" hidden="false" customHeight="false" outlineLevel="0" collapsed="false">
      <c r="A5" s="9" t="s">
        <v>31</v>
      </c>
      <c r="B5" s="9" t="s">
        <v>32</v>
      </c>
      <c r="C5" s="9" t="s">
        <v>33</v>
      </c>
      <c r="D5" s="13" t="n">
        <v>57</v>
      </c>
      <c r="E5" s="13" t="n">
        <v>82.02</v>
      </c>
    </row>
    <row r="6" customFormat="false" ht="15" hidden="false" customHeight="false" outlineLevel="0" collapsed="false">
      <c r="A6" s="9" t="s">
        <v>34</v>
      </c>
      <c r="B6" s="9" t="s">
        <v>35</v>
      </c>
      <c r="C6" s="9" t="s">
        <v>36</v>
      </c>
      <c r="D6" s="13" t="n">
        <v>11.16</v>
      </c>
      <c r="E6" s="13" t="n">
        <v>21.37</v>
      </c>
    </row>
    <row r="7" customFormat="false" ht="15" hidden="false" customHeight="false" outlineLevel="0" collapsed="false">
      <c r="A7" s="9" t="s">
        <v>37</v>
      </c>
      <c r="B7" s="9" t="s">
        <v>38</v>
      </c>
      <c r="C7" s="9" t="s">
        <v>24</v>
      </c>
      <c r="D7" s="13" t="n">
        <v>78.15</v>
      </c>
      <c r="E7" s="13" t="n">
        <v>153.98</v>
      </c>
    </row>
    <row r="8" customFormat="false" ht="15" hidden="false" customHeight="false" outlineLevel="0" collapsed="false">
      <c r="A8" s="9" t="s">
        <v>39</v>
      </c>
      <c r="B8" s="9" t="s">
        <v>40</v>
      </c>
      <c r="C8" s="9" t="s">
        <v>27</v>
      </c>
      <c r="D8" s="13" t="n">
        <v>61.85</v>
      </c>
      <c r="E8" s="13" t="n">
        <v>134.26</v>
      </c>
    </row>
    <row r="9" customFormat="false" ht="15" hidden="false" customHeight="false" outlineLevel="0" collapsed="false">
      <c r="A9" s="9" t="s">
        <v>41</v>
      </c>
      <c r="B9" s="9" t="s">
        <v>42</v>
      </c>
      <c r="C9" s="9" t="s">
        <v>30</v>
      </c>
      <c r="D9" s="13" t="n">
        <v>63.74</v>
      </c>
      <c r="E9" s="13" t="n">
        <v>101.55</v>
      </c>
    </row>
    <row r="10" customFormat="false" ht="15" hidden="false" customHeight="false" outlineLevel="0" collapsed="false">
      <c r="A10" s="9" t="s">
        <v>43</v>
      </c>
      <c r="B10" s="9" t="s">
        <v>44</v>
      </c>
      <c r="C10" s="9" t="s">
        <v>33</v>
      </c>
      <c r="D10" s="13" t="n">
        <v>13.74</v>
      </c>
      <c r="E10" s="13" t="n">
        <v>22.44</v>
      </c>
    </row>
    <row r="11" customFormat="false" ht="15" hidden="false" customHeight="false" outlineLevel="0" collapsed="false">
      <c r="A11" s="9" t="s">
        <v>45</v>
      </c>
      <c r="B11" s="9" t="s">
        <v>46</v>
      </c>
      <c r="C11" s="9" t="s">
        <v>36</v>
      </c>
      <c r="D11" s="13" t="n">
        <v>38.23</v>
      </c>
      <c r="E11" s="13" t="n">
        <v>65.86</v>
      </c>
    </row>
    <row r="12" customFormat="false" ht="15" hidden="false" customHeight="false" outlineLevel="0" collapsed="false">
      <c r="A12" s="9" t="s">
        <v>47</v>
      </c>
      <c r="B12" s="9" t="s">
        <v>48</v>
      </c>
      <c r="C12" s="9" t="s">
        <v>24</v>
      </c>
      <c r="D12" s="13" t="n">
        <v>32.18</v>
      </c>
      <c r="E12" s="13" t="n">
        <v>47.32</v>
      </c>
    </row>
    <row r="13" customFormat="false" ht="15" hidden="false" customHeight="false" outlineLevel="0" collapsed="false">
      <c r="A13" s="9" t="s">
        <v>49</v>
      </c>
      <c r="B13" s="9" t="s">
        <v>50</v>
      </c>
      <c r="C13" s="9" t="s">
        <v>27</v>
      </c>
      <c r="D13" s="13" t="n">
        <v>74.43</v>
      </c>
      <c r="E13" s="13" t="n">
        <v>105.46</v>
      </c>
    </row>
    <row r="14" customFormat="false" ht="15" hidden="false" customHeight="false" outlineLevel="0" collapsed="false">
      <c r="A14" s="9" t="s">
        <v>51</v>
      </c>
      <c r="B14" s="9" t="s">
        <v>52</v>
      </c>
      <c r="C14" s="9" t="s">
        <v>30</v>
      </c>
      <c r="D14" s="13" t="n">
        <v>52.93</v>
      </c>
      <c r="E14" s="13" t="n">
        <v>91.47</v>
      </c>
    </row>
    <row r="15" customFormat="false" ht="15" hidden="false" customHeight="false" outlineLevel="0" collapsed="false">
      <c r="A15" s="9" t="s">
        <v>53</v>
      </c>
      <c r="B15" s="9" t="s">
        <v>54</v>
      </c>
      <c r="C15" s="9" t="s">
        <v>33</v>
      </c>
      <c r="D15" s="13" t="n">
        <v>66.53</v>
      </c>
      <c r="E15" s="13" t="n">
        <v>100.08</v>
      </c>
    </row>
    <row r="16" customFormat="false" ht="15" hidden="false" customHeight="false" outlineLevel="0" collapsed="false">
      <c r="A16" s="9" t="s">
        <v>55</v>
      </c>
      <c r="B16" s="9" t="s">
        <v>56</v>
      </c>
      <c r="C16" s="9" t="s">
        <v>36</v>
      </c>
      <c r="D16" s="13" t="n">
        <v>37.7</v>
      </c>
      <c r="E16" s="13" t="n">
        <v>71.74</v>
      </c>
    </row>
    <row r="17" customFormat="false" ht="15" hidden="false" customHeight="false" outlineLevel="0" collapsed="false">
      <c r="A17" s="9" t="s">
        <v>57</v>
      </c>
      <c r="B17" s="9" t="s">
        <v>58</v>
      </c>
      <c r="C17" s="9" t="s">
        <v>24</v>
      </c>
      <c r="D17" s="13" t="n">
        <v>21.27</v>
      </c>
      <c r="E17" s="13" t="n">
        <v>36.02</v>
      </c>
    </row>
    <row r="18" customFormat="false" ht="15" hidden="false" customHeight="false" outlineLevel="0" collapsed="false">
      <c r="A18" s="9" t="s">
        <v>59</v>
      </c>
      <c r="B18" s="9" t="s">
        <v>60</v>
      </c>
      <c r="C18" s="9" t="s">
        <v>27</v>
      </c>
      <c r="D18" s="13" t="n">
        <v>46.15</v>
      </c>
      <c r="E18" s="13" t="n">
        <v>94.58</v>
      </c>
    </row>
    <row r="19" customFormat="false" ht="15" hidden="false" customHeight="false" outlineLevel="0" collapsed="false">
      <c r="A19" s="9" t="s">
        <v>61</v>
      </c>
      <c r="B19" s="9" t="s">
        <v>62</v>
      </c>
      <c r="C19" s="9" t="s">
        <v>30</v>
      </c>
      <c r="D19" s="13" t="n">
        <v>8.85</v>
      </c>
      <c r="E19" s="13" t="n">
        <v>17.08</v>
      </c>
    </row>
    <row r="20" customFormat="false" ht="15" hidden="false" customHeight="false" outlineLevel="0" collapsed="false">
      <c r="A20" s="9" t="s">
        <v>63</v>
      </c>
      <c r="B20" s="9" t="s">
        <v>64</v>
      </c>
      <c r="C20" s="9" t="s">
        <v>33</v>
      </c>
      <c r="D20" s="13" t="n">
        <v>66.9</v>
      </c>
      <c r="E20" s="13" t="n">
        <v>105.78</v>
      </c>
    </row>
    <row r="21" customFormat="false" ht="15" hidden="false" customHeight="false" outlineLevel="0" collapsed="false">
      <c r="A21" s="9" t="s">
        <v>65</v>
      </c>
      <c r="B21" s="9" t="s">
        <v>66</v>
      </c>
      <c r="C21" s="9" t="s">
        <v>36</v>
      </c>
      <c r="D21" s="13" t="n">
        <v>52.01</v>
      </c>
      <c r="E21" s="13" t="n">
        <v>106.57</v>
      </c>
    </row>
    <row r="22" customFormat="false" ht="15" hidden="false" customHeight="false" outlineLevel="0" collapsed="false">
      <c r="A22" s="9" t="s">
        <v>67</v>
      </c>
      <c r="B22" s="9" t="s">
        <v>68</v>
      </c>
      <c r="C22" s="9" t="s">
        <v>24</v>
      </c>
      <c r="D22" s="13" t="n">
        <v>61.61</v>
      </c>
      <c r="E22" s="13" t="n">
        <v>124.72</v>
      </c>
    </row>
    <row r="23" customFormat="false" ht="15" hidden="false" customHeight="false" outlineLevel="0" collapsed="false">
      <c r="A23" s="9" t="s">
        <v>69</v>
      </c>
      <c r="B23" s="9" t="s">
        <v>70</v>
      </c>
      <c r="C23" s="9" t="s">
        <v>27</v>
      </c>
      <c r="D23" s="13" t="n">
        <v>30.94</v>
      </c>
      <c r="E23" s="13" t="n">
        <v>51.01</v>
      </c>
    </row>
    <row r="24" customFormat="false" ht="15" hidden="false" customHeight="false" outlineLevel="0" collapsed="false">
      <c r="A24" s="9" t="s">
        <v>71</v>
      </c>
      <c r="B24" s="9" t="s">
        <v>72</v>
      </c>
      <c r="C24" s="9" t="s">
        <v>30</v>
      </c>
      <c r="D24" s="13" t="n">
        <v>77.77</v>
      </c>
      <c r="E24" s="13" t="n">
        <v>121.28</v>
      </c>
    </row>
    <row r="25" customFormat="false" ht="15" hidden="false" customHeight="false" outlineLevel="0" collapsed="false">
      <c r="A25" s="9" t="s">
        <v>73</v>
      </c>
      <c r="B25" s="9" t="s">
        <v>74</v>
      </c>
      <c r="C25" s="9" t="s">
        <v>33</v>
      </c>
      <c r="D25" s="13" t="n">
        <v>71.88</v>
      </c>
      <c r="E25" s="13" t="n">
        <v>137.6</v>
      </c>
    </row>
    <row r="26" customFormat="false" ht="15" hidden="false" customHeight="false" outlineLevel="0" collapsed="false">
      <c r="A26" s="9" t="s">
        <v>75</v>
      </c>
      <c r="B26" s="9" t="s">
        <v>76</v>
      </c>
      <c r="C26" s="9" t="s">
        <v>36</v>
      </c>
      <c r="D26" s="13" t="n">
        <v>63.16</v>
      </c>
      <c r="E26" s="13" t="n">
        <v>90.05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2" t="s">
        <v>77</v>
      </c>
      <c r="B1" s="12" t="s">
        <v>78</v>
      </c>
      <c r="C1" s="12" t="s">
        <v>19</v>
      </c>
      <c r="D1" s="12" t="s">
        <v>79</v>
      </c>
      <c r="E1" s="12" t="s">
        <v>80</v>
      </c>
    </row>
    <row r="2" customFormat="false" ht="15" hidden="false" customHeight="false" outlineLevel="0" collapsed="false">
      <c r="A2" s="9" t="s">
        <v>81</v>
      </c>
      <c r="B2" s="9" t="s">
        <v>82</v>
      </c>
      <c r="C2" s="9" t="s">
        <v>22</v>
      </c>
      <c r="D2" s="9" t="n">
        <v>15</v>
      </c>
      <c r="E2" s="14" t="n">
        <v>0.925</v>
      </c>
    </row>
    <row r="3" customFormat="false" ht="15" hidden="false" customHeight="false" outlineLevel="0" collapsed="false">
      <c r="A3" s="9" t="s">
        <v>83</v>
      </c>
      <c r="B3" s="9" t="s">
        <v>84</v>
      </c>
      <c r="C3" s="9" t="s">
        <v>25</v>
      </c>
      <c r="D3" s="9" t="n">
        <v>19</v>
      </c>
      <c r="E3" s="14" t="n">
        <v>0.77</v>
      </c>
    </row>
    <row r="4" customFormat="false" ht="15" hidden="false" customHeight="false" outlineLevel="0" collapsed="false">
      <c r="A4" s="9" t="s">
        <v>85</v>
      </c>
      <c r="B4" s="9" t="s">
        <v>86</v>
      </c>
      <c r="C4" s="9" t="s">
        <v>28</v>
      </c>
      <c r="D4" s="9" t="n">
        <v>17</v>
      </c>
      <c r="E4" s="14" t="n">
        <v>0.919</v>
      </c>
    </row>
    <row r="5" customFormat="false" ht="15" hidden="false" customHeight="false" outlineLevel="0" collapsed="false">
      <c r="A5" s="9" t="s">
        <v>81</v>
      </c>
      <c r="B5" s="9" t="s">
        <v>82</v>
      </c>
      <c r="C5" s="9" t="s">
        <v>31</v>
      </c>
      <c r="D5" s="9" t="n">
        <v>19</v>
      </c>
      <c r="E5" s="14" t="n">
        <v>0.924</v>
      </c>
    </row>
    <row r="6" customFormat="false" ht="15" hidden="false" customHeight="false" outlineLevel="0" collapsed="false">
      <c r="A6" s="9" t="s">
        <v>83</v>
      </c>
      <c r="B6" s="9" t="s">
        <v>84</v>
      </c>
      <c r="C6" s="9" t="s">
        <v>34</v>
      </c>
      <c r="D6" s="9" t="n">
        <v>16</v>
      </c>
      <c r="E6" s="14" t="n">
        <v>0.797</v>
      </c>
    </row>
    <row r="7" customFormat="false" ht="15" hidden="false" customHeight="false" outlineLevel="0" collapsed="false">
      <c r="A7" s="9" t="s">
        <v>87</v>
      </c>
      <c r="B7" s="9" t="s">
        <v>88</v>
      </c>
      <c r="C7" s="9" t="s">
        <v>37</v>
      </c>
      <c r="D7" s="9" t="n">
        <v>17</v>
      </c>
      <c r="E7" s="14" t="n">
        <v>0.797</v>
      </c>
    </row>
    <row r="8" customFormat="false" ht="15" hidden="false" customHeight="false" outlineLevel="0" collapsed="false">
      <c r="A8" s="9" t="s">
        <v>83</v>
      </c>
      <c r="B8" s="9" t="s">
        <v>84</v>
      </c>
      <c r="C8" s="9" t="s">
        <v>39</v>
      </c>
      <c r="D8" s="9" t="n">
        <v>18</v>
      </c>
      <c r="E8" s="14" t="n">
        <v>0.781</v>
      </c>
    </row>
    <row r="9" customFormat="false" ht="15" hidden="false" customHeight="false" outlineLevel="0" collapsed="false">
      <c r="A9" s="9" t="s">
        <v>83</v>
      </c>
      <c r="B9" s="9" t="s">
        <v>84</v>
      </c>
      <c r="C9" s="9" t="s">
        <v>41</v>
      </c>
      <c r="D9" s="9" t="n">
        <v>15</v>
      </c>
      <c r="E9" s="14" t="n">
        <v>0.771</v>
      </c>
    </row>
    <row r="10" customFormat="false" ht="15" hidden="false" customHeight="false" outlineLevel="0" collapsed="false">
      <c r="A10" s="9" t="s">
        <v>85</v>
      </c>
      <c r="B10" s="9" t="s">
        <v>86</v>
      </c>
      <c r="C10" s="9" t="s">
        <v>43</v>
      </c>
      <c r="D10" s="9" t="n">
        <v>18</v>
      </c>
      <c r="E10" s="14" t="n">
        <v>0.917</v>
      </c>
    </row>
    <row r="11" customFormat="false" ht="15" hidden="false" customHeight="false" outlineLevel="0" collapsed="false">
      <c r="A11" s="9" t="s">
        <v>83</v>
      </c>
      <c r="B11" s="9" t="s">
        <v>84</v>
      </c>
      <c r="C11" s="9" t="s">
        <v>45</v>
      </c>
      <c r="D11" s="9" t="n">
        <v>17</v>
      </c>
      <c r="E11" s="14" t="n">
        <v>0.733</v>
      </c>
    </row>
    <row r="12" customFormat="false" ht="15" hidden="false" customHeight="false" outlineLevel="0" collapsed="false">
      <c r="A12" s="9" t="s">
        <v>81</v>
      </c>
      <c r="B12" s="9" t="s">
        <v>82</v>
      </c>
      <c r="C12" s="9" t="s">
        <v>47</v>
      </c>
      <c r="D12" s="9" t="n">
        <v>18</v>
      </c>
      <c r="E12" s="14" t="n">
        <v>0.867</v>
      </c>
    </row>
    <row r="13" customFormat="false" ht="15" hidden="false" customHeight="false" outlineLevel="0" collapsed="false">
      <c r="A13" s="9" t="s">
        <v>89</v>
      </c>
      <c r="B13" s="9" t="s">
        <v>90</v>
      </c>
      <c r="C13" s="9" t="s">
        <v>49</v>
      </c>
      <c r="D13" s="9" t="n">
        <v>19</v>
      </c>
      <c r="E13" s="14" t="n">
        <v>0.82</v>
      </c>
    </row>
    <row r="14" customFormat="false" ht="15" hidden="false" customHeight="false" outlineLevel="0" collapsed="false">
      <c r="A14" s="9" t="s">
        <v>83</v>
      </c>
      <c r="B14" s="9" t="s">
        <v>84</v>
      </c>
      <c r="C14" s="9" t="s">
        <v>51</v>
      </c>
      <c r="D14" s="9" t="n">
        <v>18</v>
      </c>
      <c r="E14" s="14" t="n">
        <v>0.754</v>
      </c>
    </row>
    <row r="15" customFormat="false" ht="15" hidden="false" customHeight="false" outlineLevel="0" collapsed="false">
      <c r="A15" s="9" t="s">
        <v>85</v>
      </c>
      <c r="B15" s="9" t="s">
        <v>86</v>
      </c>
      <c r="C15" s="9" t="s">
        <v>53</v>
      </c>
      <c r="D15" s="9" t="n">
        <v>18</v>
      </c>
      <c r="E15" s="14" t="n">
        <v>0.931</v>
      </c>
    </row>
    <row r="16" customFormat="false" ht="15" hidden="false" customHeight="false" outlineLevel="0" collapsed="false">
      <c r="A16" s="9" t="s">
        <v>89</v>
      </c>
      <c r="B16" s="9" t="s">
        <v>90</v>
      </c>
      <c r="C16" s="9" t="s">
        <v>55</v>
      </c>
      <c r="D16" s="9" t="n">
        <v>17</v>
      </c>
      <c r="E16" s="14" t="n">
        <v>0.833</v>
      </c>
    </row>
    <row r="17" customFormat="false" ht="15" hidden="false" customHeight="false" outlineLevel="0" collapsed="false">
      <c r="A17" s="9" t="s">
        <v>91</v>
      </c>
      <c r="B17" s="9" t="s">
        <v>92</v>
      </c>
      <c r="C17" s="9" t="s">
        <v>57</v>
      </c>
      <c r="D17" s="9" t="n">
        <v>4</v>
      </c>
      <c r="E17" s="14" t="n">
        <v>0.875</v>
      </c>
    </row>
    <row r="18" customFormat="false" ht="15" hidden="false" customHeight="false" outlineLevel="0" collapsed="false">
      <c r="A18" s="9" t="s">
        <v>93</v>
      </c>
      <c r="B18" s="9" t="s">
        <v>94</v>
      </c>
      <c r="C18" s="9" t="s">
        <v>59</v>
      </c>
      <c r="D18" s="9" t="n">
        <v>17</v>
      </c>
      <c r="E18" s="14" t="n">
        <v>0.902</v>
      </c>
    </row>
    <row r="19" customFormat="false" ht="15" hidden="false" customHeight="false" outlineLevel="0" collapsed="false">
      <c r="A19" s="9" t="s">
        <v>95</v>
      </c>
      <c r="B19" s="9" t="s">
        <v>96</v>
      </c>
      <c r="C19" s="9" t="s">
        <v>61</v>
      </c>
      <c r="D19" s="9" t="n">
        <v>6</v>
      </c>
      <c r="E19" s="14" t="n">
        <v>0.926</v>
      </c>
    </row>
    <row r="20" customFormat="false" ht="15" hidden="false" customHeight="false" outlineLevel="0" collapsed="false">
      <c r="A20" s="9" t="s">
        <v>89</v>
      </c>
      <c r="B20" s="9" t="s">
        <v>90</v>
      </c>
      <c r="C20" s="9" t="s">
        <v>63</v>
      </c>
      <c r="D20" s="9" t="n">
        <v>15</v>
      </c>
      <c r="E20" s="14" t="n">
        <v>0.882</v>
      </c>
    </row>
    <row r="21" customFormat="false" ht="15" hidden="false" customHeight="false" outlineLevel="0" collapsed="false">
      <c r="A21" s="9" t="s">
        <v>91</v>
      </c>
      <c r="B21" s="9" t="s">
        <v>92</v>
      </c>
      <c r="C21" s="9" t="s">
        <v>65</v>
      </c>
      <c r="D21" s="9" t="n">
        <v>3</v>
      </c>
      <c r="E21" s="14" t="n">
        <v>0.858</v>
      </c>
    </row>
    <row r="22" customFormat="false" ht="15" hidden="false" customHeight="false" outlineLevel="0" collapsed="false">
      <c r="A22" s="9" t="s">
        <v>93</v>
      </c>
      <c r="B22" s="9" t="s">
        <v>94</v>
      </c>
      <c r="C22" s="9" t="s">
        <v>67</v>
      </c>
      <c r="D22" s="9" t="n">
        <v>13</v>
      </c>
      <c r="E22" s="14" t="n">
        <v>0.857</v>
      </c>
    </row>
    <row r="23" customFormat="false" ht="15" hidden="false" customHeight="false" outlineLevel="0" collapsed="false">
      <c r="A23" s="9" t="s">
        <v>81</v>
      </c>
      <c r="B23" s="9" t="s">
        <v>82</v>
      </c>
      <c r="C23" s="9" t="s">
        <v>69</v>
      </c>
      <c r="D23" s="9" t="n">
        <v>15</v>
      </c>
      <c r="E23" s="14" t="n">
        <v>0.881</v>
      </c>
    </row>
    <row r="24" customFormat="false" ht="15" hidden="false" customHeight="false" outlineLevel="0" collapsed="false">
      <c r="A24" s="9" t="s">
        <v>85</v>
      </c>
      <c r="B24" s="9" t="s">
        <v>86</v>
      </c>
      <c r="C24" s="9" t="s">
        <v>71</v>
      </c>
      <c r="D24" s="9" t="n">
        <v>16</v>
      </c>
      <c r="E24" s="14" t="n">
        <v>0.909</v>
      </c>
    </row>
    <row r="25" customFormat="false" ht="15" hidden="false" customHeight="false" outlineLevel="0" collapsed="false">
      <c r="A25" s="9" t="s">
        <v>95</v>
      </c>
      <c r="B25" s="9" t="s">
        <v>96</v>
      </c>
      <c r="C25" s="9" t="s">
        <v>73</v>
      </c>
      <c r="D25" s="9" t="n">
        <v>8</v>
      </c>
      <c r="E25" s="14" t="n">
        <v>0.962</v>
      </c>
    </row>
    <row r="26" customFormat="false" ht="15" hidden="false" customHeight="false" outlineLevel="0" collapsed="false">
      <c r="A26" s="9" t="s">
        <v>81</v>
      </c>
      <c r="B26" s="9" t="s">
        <v>82</v>
      </c>
      <c r="C26" s="9" t="s">
        <v>75</v>
      </c>
      <c r="D26" s="9" t="n">
        <v>18</v>
      </c>
      <c r="E26" s="14" t="n">
        <v>0.858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2" t="s">
        <v>97</v>
      </c>
      <c r="B1" s="12" t="s">
        <v>10</v>
      </c>
      <c r="C1" s="12" t="s">
        <v>98</v>
      </c>
    </row>
    <row r="2" customFormat="false" ht="15" hidden="false" customHeight="false" outlineLevel="0" collapsed="false">
      <c r="A2" s="9" t="s">
        <v>99</v>
      </c>
      <c r="B2" s="9" t="s">
        <v>100</v>
      </c>
      <c r="C2" s="9" t="s">
        <v>101</v>
      </c>
    </row>
    <row r="3" customFormat="false" ht="15" hidden="false" customHeight="false" outlineLevel="0" collapsed="false">
      <c r="A3" s="9" t="s">
        <v>102</v>
      </c>
      <c r="B3" s="9" t="s">
        <v>103</v>
      </c>
      <c r="C3" s="9" t="s">
        <v>104</v>
      </c>
    </row>
    <row r="4" customFormat="false" ht="15" hidden="false" customHeight="false" outlineLevel="0" collapsed="false">
      <c r="A4" s="9" t="s">
        <v>105</v>
      </c>
      <c r="B4" s="9" t="s">
        <v>106</v>
      </c>
      <c r="C4" s="9" t="s">
        <v>107</v>
      </c>
    </row>
    <row r="5" customFormat="false" ht="15" hidden="false" customHeight="false" outlineLevel="0" collapsed="false">
      <c r="A5" s="9" t="s">
        <v>108</v>
      </c>
      <c r="B5" s="9" t="s">
        <v>109</v>
      </c>
      <c r="C5" s="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2" t="s">
        <v>19</v>
      </c>
      <c r="B1" s="12" t="s">
        <v>97</v>
      </c>
      <c r="C1" s="12" t="s">
        <v>111</v>
      </c>
      <c r="D1" s="12" t="s">
        <v>12</v>
      </c>
      <c r="E1" s="12" t="s">
        <v>13</v>
      </c>
    </row>
    <row r="2" customFormat="false" ht="15" hidden="false" customHeight="false" outlineLevel="0" collapsed="false">
      <c r="A2" s="9" t="s">
        <v>22</v>
      </c>
      <c r="B2" s="9" t="s">
        <v>99</v>
      </c>
      <c r="C2" s="9" t="n">
        <v>107</v>
      </c>
      <c r="D2" s="9" t="n">
        <v>107</v>
      </c>
      <c r="E2" s="9" t="n">
        <v>28</v>
      </c>
    </row>
    <row r="3" customFormat="false" ht="15" hidden="false" customHeight="false" outlineLevel="0" collapsed="false">
      <c r="A3" s="9" t="s">
        <v>22</v>
      </c>
      <c r="B3" s="9" t="s">
        <v>102</v>
      </c>
      <c r="C3" s="9" t="n">
        <v>282</v>
      </c>
      <c r="D3" s="9" t="n">
        <v>273</v>
      </c>
      <c r="E3" s="9" t="n">
        <v>78</v>
      </c>
    </row>
    <row r="4" customFormat="false" ht="15" hidden="false" customHeight="false" outlineLevel="0" collapsed="false">
      <c r="A4" s="9" t="s">
        <v>22</v>
      </c>
      <c r="B4" s="9" t="s">
        <v>105</v>
      </c>
      <c r="C4" s="9" t="n">
        <v>304</v>
      </c>
      <c r="D4" s="9" t="n">
        <v>145</v>
      </c>
      <c r="E4" s="9" t="n">
        <v>39</v>
      </c>
    </row>
    <row r="5" customFormat="false" ht="15" hidden="false" customHeight="false" outlineLevel="0" collapsed="false">
      <c r="A5" s="9" t="s">
        <v>22</v>
      </c>
      <c r="B5" s="9" t="s">
        <v>108</v>
      </c>
      <c r="C5" s="9" t="n">
        <v>257</v>
      </c>
      <c r="D5" s="9" t="n">
        <v>185</v>
      </c>
      <c r="E5" s="9" t="n">
        <v>34</v>
      </c>
    </row>
    <row r="6" customFormat="false" ht="15" hidden="false" customHeight="false" outlineLevel="0" collapsed="false">
      <c r="A6" s="9" t="s">
        <v>25</v>
      </c>
      <c r="B6" s="9" t="s">
        <v>99</v>
      </c>
      <c r="C6" s="9" t="n">
        <v>65</v>
      </c>
      <c r="D6" s="9" t="n">
        <v>38</v>
      </c>
      <c r="E6" s="9" t="n">
        <v>8</v>
      </c>
    </row>
    <row r="7" customFormat="false" ht="15" hidden="false" customHeight="false" outlineLevel="0" collapsed="false">
      <c r="A7" s="9" t="s">
        <v>25</v>
      </c>
      <c r="B7" s="9" t="s">
        <v>102</v>
      </c>
      <c r="C7" s="9" t="n">
        <v>47</v>
      </c>
      <c r="D7" s="9" t="n">
        <v>67</v>
      </c>
      <c r="E7" s="9" t="n">
        <v>10</v>
      </c>
    </row>
    <row r="8" customFormat="false" ht="15" hidden="false" customHeight="false" outlineLevel="0" collapsed="false">
      <c r="A8" s="9" t="s">
        <v>25</v>
      </c>
      <c r="B8" s="9" t="s">
        <v>105</v>
      </c>
      <c r="C8" s="9" t="n">
        <v>96</v>
      </c>
      <c r="D8" s="9" t="n">
        <v>87</v>
      </c>
      <c r="E8" s="9" t="n">
        <v>23</v>
      </c>
    </row>
    <row r="9" customFormat="false" ht="15" hidden="false" customHeight="false" outlineLevel="0" collapsed="false">
      <c r="A9" s="9" t="s">
        <v>25</v>
      </c>
      <c r="B9" s="9" t="s">
        <v>108</v>
      </c>
      <c r="C9" s="9" t="n">
        <v>168</v>
      </c>
      <c r="D9" s="9" t="n">
        <v>142</v>
      </c>
      <c r="E9" s="9" t="n">
        <v>31</v>
      </c>
    </row>
    <row r="10" customFormat="false" ht="15" hidden="false" customHeight="false" outlineLevel="0" collapsed="false">
      <c r="A10" s="9" t="s">
        <v>28</v>
      </c>
      <c r="B10" s="9" t="s">
        <v>99</v>
      </c>
      <c r="C10" s="9" t="n">
        <v>460</v>
      </c>
      <c r="D10" s="9" t="n">
        <v>316</v>
      </c>
      <c r="E10" s="9" t="n">
        <v>71</v>
      </c>
    </row>
    <row r="11" customFormat="false" ht="15" hidden="false" customHeight="false" outlineLevel="0" collapsed="false">
      <c r="A11" s="9" t="s">
        <v>28</v>
      </c>
      <c r="B11" s="9" t="s">
        <v>102</v>
      </c>
      <c r="C11" s="9" t="n">
        <v>132</v>
      </c>
      <c r="D11" s="9" t="n">
        <v>48</v>
      </c>
      <c r="E11" s="9" t="n">
        <v>11</v>
      </c>
    </row>
    <row r="12" customFormat="false" ht="15" hidden="false" customHeight="false" outlineLevel="0" collapsed="false">
      <c r="A12" s="9" t="s">
        <v>28</v>
      </c>
      <c r="B12" s="9" t="s">
        <v>105</v>
      </c>
      <c r="C12" s="9" t="n">
        <v>73</v>
      </c>
      <c r="D12" s="9" t="n">
        <v>315</v>
      </c>
      <c r="E12" s="9" t="n">
        <v>75</v>
      </c>
    </row>
    <row r="13" customFormat="false" ht="15" hidden="false" customHeight="false" outlineLevel="0" collapsed="false">
      <c r="A13" s="9" t="s">
        <v>28</v>
      </c>
      <c r="B13" s="9" t="s">
        <v>108</v>
      </c>
      <c r="C13" s="9" t="n">
        <v>110</v>
      </c>
      <c r="D13" s="9" t="n">
        <v>101</v>
      </c>
      <c r="E13" s="9" t="n">
        <v>20</v>
      </c>
    </row>
    <row r="14" customFormat="false" ht="15" hidden="false" customHeight="false" outlineLevel="0" collapsed="false">
      <c r="A14" s="9" t="s">
        <v>31</v>
      </c>
      <c r="B14" s="9" t="s">
        <v>99</v>
      </c>
      <c r="C14" s="9" t="n">
        <v>289</v>
      </c>
      <c r="D14" s="9" t="n">
        <v>158</v>
      </c>
      <c r="E14" s="9" t="n">
        <v>22</v>
      </c>
    </row>
    <row r="15" customFormat="false" ht="15" hidden="false" customHeight="false" outlineLevel="0" collapsed="false">
      <c r="A15" s="9" t="s">
        <v>31</v>
      </c>
      <c r="B15" s="9" t="s">
        <v>102</v>
      </c>
      <c r="C15" s="9" t="n">
        <v>238</v>
      </c>
      <c r="D15" s="9" t="n">
        <v>305</v>
      </c>
      <c r="E15" s="9" t="n">
        <v>48</v>
      </c>
    </row>
    <row r="16" customFormat="false" ht="15" hidden="false" customHeight="false" outlineLevel="0" collapsed="false">
      <c r="A16" s="9" t="s">
        <v>31</v>
      </c>
      <c r="B16" s="9" t="s">
        <v>105</v>
      </c>
      <c r="C16" s="9" t="n">
        <v>78</v>
      </c>
      <c r="D16" s="9" t="n">
        <v>62</v>
      </c>
      <c r="E16" s="9" t="n">
        <v>14</v>
      </c>
    </row>
    <row r="17" customFormat="false" ht="15" hidden="false" customHeight="false" outlineLevel="0" collapsed="false">
      <c r="A17" s="9" t="s">
        <v>31</v>
      </c>
      <c r="B17" s="9" t="s">
        <v>108</v>
      </c>
      <c r="C17" s="9" t="n">
        <v>501</v>
      </c>
      <c r="D17" s="9" t="n">
        <v>280</v>
      </c>
      <c r="E17" s="9" t="n">
        <v>68</v>
      </c>
    </row>
    <row r="18" customFormat="false" ht="15" hidden="false" customHeight="false" outlineLevel="0" collapsed="false">
      <c r="A18" s="9" t="s">
        <v>34</v>
      </c>
      <c r="B18" s="9" t="s">
        <v>99</v>
      </c>
      <c r="C18" s="9" t="n">
        <v>224</v>
      </c>
      <c r="D18" s="9" t="n">
        <v>275</v>
      </c>
      <c r="E18" s="9" t="n">
        <v>54</v>
      </c>
    </row>
    <row r="19" customFormat="false" ht="15" hidden="false" customHeight="false" outlineLevel="0" collapsed="false">
      <c r="A19" s="9" t="s">
        <v>34</v>
      </c>
      <c r="B19" s="9" t="s">
        <v>102</v>
      </c>
      <c r="C19" s="9" t="n">
        <v>159</v>
      </c>
      <c r="D19" s="9" t="n">
        <v>179</v>
      </c>
      <c r="E19" s="9" t="n">
        <v>39</v>
      </c>
    </row>
    <row r="20" customFormat="false" ht="15" hidden="false" customHeight="false" outlineLevel="0" collapsed="false">
      <c r="A20" s="9" t="s">
        <v>34</v>
      </c>
      <c r="B20" s="9" t="s">
        <v>105</v>
      </c>
      <c r="C20" s="9" t="n">
        <v>441</v>
      </c>
      <c r="D20" s="9" t="n">
        <v>250</v>
      </c>
      <c r="E20" s="9" t="n">
        <v>53</v>
      </c>
    </row>
    <row r="21" customFormat="false" ht="15" hidden="false" customHeight="false" outlineLevel="0" collapsed="false">
      <c r="A21" s="9" t="s">
        <v>34</v>
      </c>
      <c r="B21" s="9" t="s">
        <v>108</v>
      </c>
      <c r="C21" s="9" t="n">
        <v>136</v>
      </c>
      <c r="D21" s="9" t="n">
        <v>107</v>
      </c>
      <c r="E21" s="9" t="n">
        <v>26</v>
      </c>
    </row>
    <row r="22" customFormat="false" ht="15" hidden="false" customHeight="false" outlineLevel="0" collapsed="false">
      <c r="A22" s="9" t="s">
        <v>37</v>
      </c>
      <c r="B22" s="9" t="s">
        <v>99</v>
      </c>
      <c r="C22" s="9" t="n">
        <v>313</v>
      </c>
      <c r="D22" s="9" t="n">
        <v>292</v>
      </c>
      <c r="E22" s="9" t="n">
        <v>52</v>
      </c>
    </row>
    <row r="23" customFormat="false" ht="15" hidden="false" customHeight="false" outlineLevel="0" collapsed="false">
      <c r="A23" s="9" t="s">
        <v>37</v>
      </c>
      <c r="B23" s="9" t="s">
        <v>102</v>
      </c>
      <c r="C23" s="9" t="n">
        <v>235</v>
      </c>
      <c r="D23" s="9" t="n">
        <v>170</v>
      </c>
      <c r="E23" s="9" t="n">
        <v>49</v>
      </c>
    </row>
    <row r="24" customFormat="false" ht="15" hidden="false" customHeight="false" outlineLevel="0" collapsed="false">
      <c r="A24" s="9" t="s">
        <v>37</v>
      </c>
      <c r="B24" s="9" t="s">
        <v>105</v>
      </c>
      <c r="C24" s="9" t="n">
        <v>334</v>
      </c>
      <c r="D24" s="9" t="n">
        <v>270</v>
      </c>
      <c r="E24" s="9" t="n">
        <v>75</v>
      </c>
    </row>
    <row r="25" customFormat="false" ht="15" hidden="false" customHeight="false" outlineLevel="0" collapsed="false">
      <c r="A25" s="9" t="s">
        <v>37</v>
      </c>
      <c r="B25" s="9" t="s">
        <v>108</v>
      </c>
      <c r="C25" s="9" t="n">
        <v>246</v>
      </c>
      <c r="D25" s="9" t="n">
        <v>175</v>
      </c>
      <c r="E25" s="9" t="n">
        <v>35</v>
      </c>
    </row>
    <row r="26" customFormat="false" ht="15" hidden="false" customHeight="false" outlineLevel="0" collapsed="false">
      <c r="A26" s="9" t="s">
        <v>39</v>
      </c>
      <c r="B26" s="9" t="s">
        <v>99</v>
      </c>
      <c r="C26" s="9" t="n">
        <v>349</v>
      </c>
      <c r="D26" s="9" t="n">
        <v>231</v>
      </c>
      <c r="E26" s="9" t="n">
        <v>46</v>
      </c>
    </row>
    <row r="27" customFormat="false" ht="15" hidden="false" customHeight="false" outlineLevel="0" collapsed="false">
      <c r="A27" s="9" t="s">
        <v>39</v>
      </c>
      <c r="B27" s="9" t="s">
        <v>102</v>
      </c>
      <c r="C27" s="9" t="n">
        <v>173</v>
      </c>
      <c r="D27" s="9" t="n">
        <v>252</v>
      </c>
      <c r="E27" s="9" t="n">
        <v>46</v>
      </c>
    </row>
    <row r="28" customFormat="false" ht="15" hidden="false" customHeight="false" outlineLevel="0" collapsed="false">
      <c r="A28" s="9" t="s">
        <v>39</v>
      </c>
      <c r="B28" s="9" t="s">
        <v>105</v>
      </c>
      <c r="C28" s="9" t="n">
        <v>203</v>
      </c>
      <c r="D28" s="9" t="n">
        <v>94</v>
      </c>
      <c r="E28" s="9" t="n">
        <v>15</v>
      </c>
    </row>
    <row r="29" customFormat="false" ht="15" hidden="false" customHeight="false" outlineLevel="0" collapsed="false">
      <c r="A29" s="9" t="s">
        <v>39</v>
      </c>
      <c r="B29" s="9" t="s">
        <v>108</v>
      </c>
      <c r="C29" s="9" t="n">
        <v>140</v>
      </c>
      <c r="D29" s="9" t="n">
        <v>69</v>
      </c>
      <c r="E29" s="9" t="n">
        <v>12</v>
      </c>
    </row>
    <row r="30" customFormat="false" ht="15" hidden="false" customHeight="false" outlineLevel="0" collapsed="false">
      <c r="A30" s="9" t="s">
        <v>41</v>
      </c>
      <c r="B30" s="9" t="s">
        <v>99</v>
      </c>
      <c r="C30" s="9" t="n">
        <v>212</v>
      </c>
      <c r="D30" s="9" t="n">
        <v>249</v>
      </c>
      <c r="E30" s="9" t="n">
        <v>50</v>
      </c>
    </row>
    <row r="31" customFormat="false" ht="15" hidden="false" customHeight="false" outlineLevel="0" collapsed="false">
      <c r="A31" s="9" t="s">
        <v>41</v>
      </c>
      <c r="B31" s="9" t="s">
        <v>102</v>
      </c>
      <c r="C31" s="9" t="n">
        <v>337</v>
      </c>
      <c r="D31" s="9" t="n">
        <v>260</v>
      </c>
      <c r="E31" s="9" t="n">
        <v>82</v>
      </c>
    </row>
    <row r="32" customFormat="false" ht="15" hidden="false" customHeight="false" outlineLevel="0" collapsed="false">
      <c r="A32" s="9" t="s">
        <v>41</v>
      </c>
      <c r="B32" s="9" t="s">
        <v>105</v>
      </c>
      <c r="C32" s="9" t="n">
        <v>108</v>
      </c>
      <c r="D32" s="9" t="n">
        <v>54</v>
      </c>
      <c r="E32" s="9" t="n">
        <v>9</v>
      </c>
    </row>
    <row r="33" customFormat="false" ht="15" hidden="false" customHeight="false" outlineLevel="0" collapsed="false">
      <c r="A33" s="9" t="s">
        <v>41</v>
      </c>
      <c r="B33" s="9" t="s">
        <v>108</v>
      </c>
      <c r="C33" s="9" t="n">
        <v>16</v>
      </c>
      <c r="D33" s="9" t="n">
        <v>59</v>
      </c>
      <c r="E33" s="9" t="n">
        <v>16</v>
      </c>
    </row>
    <row r="34" customFormat="false" ht="15" hidden="false" customHeight="false" outlineLevel="0" collapsed="false">
      <c r="A34" s="9" t="s">
        <v>43</v>
      </c>
      <c r="B34" s="9" t="s">
        <v>99</v>
      </c>
      <c r="C34" s="9" t="n">
        <v>133</v>
      </c>
      <c r="D34" s="9" t="n">
        <v>193</v>
      </c>
      <c r="E34" s="9" t="n">
        <v>47</v>
      </c>
    </row>
    <row r="35" customFormat="false" ht="15" hidden="false" customHeight="false" outlineLevel="0" collapsed="false">
      <c r="A35" s="9" t="s">
        <v>43</v>
      </c>
      <c r="B35" s="9" t="s">
        <v>102</v>
      </c>
      <c r="C35" s="9" t="n">
        <v>161</v>
      </c>
      <c r="D35" s="9" t="n">
        <v>92</v>
      </c>
      <c r="E35" s="9" t="n">
        <v>24</v>
      </c>
    </row>
    <row r="36" customFormat="false" ht="15" hidden="false" customHeight="false" outlineLevel="0" collapsed="false">
      <c r="A36" s="9" t="s">
        <v>43</v>
      </c>
      <c r="B36" s="9" t="s">
        <v>105</v>
      </c>
      <c r="C36" s="9" t="n">
        <v>258</v>
      </c>
      <c r="D36" s="9" t="n">
        <v>244</v>
      </c>
      <c r="E36" s="9" t="n">
        <v>40</v>
      </c>
    </row>
    <row r="37" customFormat="false" ht="15" hidden="false" customHeight="false" outlineLevel="0" collapsed="false">
      <c r="A37" s="9" t="s">
        <v>43</v>
      </c>
      <c r="B37" s="9" t="s">
        <v>108</v>
      </c>
      <c r="C37" s="9" t="n">
        <v>188</v>
      </c>
      <c r="D37" s="9" t="n">
        <v>120</v>
      </c>
      <c r="E37" s="9" t="n">
        <v>26</v>
      </c>
    </row>
    <row r="38" customFormat="false" ht="15" hidden="false" customHeight="false" outlineLevel="0" collapsed="false">
      <c r="A38" s="9" t="s">
        <v>45</v>
      </c>
      <c r="B38" s="9" t="s">
        <v>99</v>
      </c>
      <c r="C38" s="9" t="n">
        <v>289</v>
      </c>
      <c r="D38" s="9" t="n">
        <v>304</v>
      </c>
      <c r="E38" s="9" t="n">
        <v>60</v>
      </c>
    </row>
    <row r="39" customFormat="false" ht="15" hidden="false" customHeight="false" outlineLevel="0" collapsed="false">
      <c r="A39" s="9" t="s">
        <v>45</v>
      </c>
      <c r="B39" s="9" t="s">
        <v>102</v>
      </c>
      <c r="C39" s="9" t="n">
        <v>41</v>
      </c>
      <c r="D39" s="9" t="n">
        <v>30</v>
      </c>
      <c r="E39" s="9" t="n">
        <v>7</v>
      </c>
    </row>
    <row r="40" customFormat="false" ht="15" hidden="false" customHeight="false" outlineLevel="0" collapsed="false">
      <c r="A40" s="9" t="s">
        <v>45</v>
      </c>
      <c r="B40" s="9" t="s">
        <v>105</v>
      </c>
      <c r="C40" s="9" t="n">
        <v>72</v>
      </c>
      <c r="D40" s="9" t="n">
        <v>51</v>
      </c>
      <c r="E40" s="9" t="n">
        <v>9</v>
      </c>
    </row>
    <row r="41" customFormat="false" ht="15" hidden="false" customHeight="false" outlineLevel="0" collapsed="false">
      <c r="A41" s="9" t="s">
        <v>45</v>
      </c>
      <c r="B41" s="9" t="s">
        <v>108</v>
      </c>
      <c r="C41" s="9" t="n">
        <v>283</v>
      </c>
      <c r="D41" s="9" t="n">
        <v>325</v>
      </c>
      <c r="E41" s="9" t="n">
        <v>78</v>
      </c>
    </row>
    <row r="42" customFormat="false" ht="15" hidden="false" customHeight="false" outlineLevel="0" collapsed="false">
      <c r="A42" s="9" t="s">
        <v>47</v>
      </c>
      <c r="B42" s="9" t="s">
        <v>99</v>
      </c>
      <c r="C42" s="9" t="n">
        <v>282</v>
      </c>
      <c r="D42" s="9" t="n">
        <v>281</v>
      </c>
      <c r="E42" s="9" t="n">
        <v>60</v>
      </c>
    </row>
    <row r="43" customFormat="false" ht="15" hidden="false" customHeight="false" outlineLevel="0" collapsed="false">
      <c r="A43" s="9" t="s">
        <v>47</v>
      </c>
      <c r="B43" s="9" t="s">
        <v>102</v>
      </c>
      <c r="C43" s="9" t="n">
        <v>24</v>
      </c>
      <c r="D43" s="9" t="n">
        <v>26</v>
      </c>
      <c r="E43" s="9" t="n">
        <v>4</v>
      </c>
    </row>
    <row r="44" customFormat="false" ht="15" hidden="false" customHeight="false" outlineLevel="0" collapsed="false">
      <c r="A44" s="9" t="s">
        <v>47</v>
      </c>
      <c r="B44" s="9" t="s">
        <v>105</v>
      </c>
      <c r="C44" s="9" t="n">
        <v>325</v>
      </c>
      <c r="D44" s="9" t="n">
        <v>267</v>
      </c>
      <c r="E44" s="9" t="n">
        <v>48</v>
      </c>
    </row>
    <row r="45" customFormat="false" ht="15" hidden="false" customHeight="false" outlineLevel="0" collapsed="false">
      <c r="A45" s="9" t="s">
        <v>47</v>
      </c>
      <c r="B45" s="9" t="s">
        <v>108</v>
      </c>
      <c r="C45" s="9" t="n">
        <v>558</v>
      </c>
      <c r="D45" s="9" t="n">
        <v>232</v>
      </c>
      <c r="E45" s="9" t="n">
        <v>61</v>
      </c>
    </row>
    <row r="46" customFormat="false" ht="15" hidden="false" customHeight="false" outlineLevel="0" collapsed="false">
      <c r="A46" s="9" t="s">
        <v>49</v>
      </c>
      <c r="B46" s="9" t="s">
        <v>99</v>
      </c>
      <c r="C46" s="9" t="n">
        <v>296</v>
      </c>
      <c r="D46" s="9" t="n">
        <v>159</v>
      </c>
      <c r="E46" s="9" t="n">
        <v>30</v>
      </c>
    </row>
    <row r="47" customFormat="false" ht="15" hidden="false" customHeight="false" outlineLevel="0" collapsed="false">
      <c r="A47" s="9" t="s">
        <v>49</v>
      </c>
      <c r="B47" s="9" t="s">
        <v>102</v>
      </c>
      <c r="C47" s="9" t="n">
        <v>146</v>
      </c>
      <c r="D47" s="9" t="n">
        <v>258</v>
      </c>
      <c r="E47" s="9" t="n">
        <v>66</v>
      </c>
    </row>
    <row r="48" customFormat="false" ht="15" hidden="false" customHeight="false" outlineLevel="0" collapsed="false">
      <c r="A48" s="9" t="s">
        <v>49</v>
      </c>
      <c r="B48" s="9" t="s">
        <v>105</v>
      </c>
      <c r="C48" s="9" t="n">
        <v>77</v>
      </c>
      <c r="D48" s="9" t="n">
        <v>103</v>
      </c>
      <c r="E48" s="9" t="n">
        <v>18</v>
      </c>
    </row>
    <row r="49" customFormat="false" ht="15" hidden="false" customHeight="false" outlineLevel="0" collapsed="false">
      <c r="A49" s="9" t="s">
        <v>49</v>
      </c>
      <c r="B49" s="9" t="s">
        <v>108</v>
      </c>
      <c r="C49" s="9" t="n">
        <v>199</v>
      </c>
      <c r="D49" s="9" t="n">
        <v>279</v>
      </c>
      <c r="E49" s="9" t="n">
        <v>43</v>
      </c>
    </row>
    <row r="50" customFormat="false" ht="15" hidden="false" customHeight="false" outlineLevel="0" collapsed="false">
      <c r="A50" s="9" t="s">
        <v>51</v>
      </c>
      <c r="B50" s="9" t="s">
        <v>99</v>
      </c>
      <c r="C50" s="9" t="n">
        <v>435</v>
      </c>
      <c r="D50" s="9" t="n">
        <v>201</v>
      </c>
      <c r="E50" s="9" t="n">
        <v>33</v>
      </c>
    </row>
    <row r="51" customFormat="false" ht="15" hidden="false" customHeight="false" outlineLevel="0" collapsed="false">
      <c r="A51" s="9" t="s">
        <v>51</v>
      </c>
      <c r="B51" s="9" t="s">
        <v>102</v>
      </c>
      <c r="C51" s="9" t="n">
        <v>194</v>
      </c>
      <c r="D51" s="9" t="n">
        <v>115</v>
      </c>
      <c r="E51" s="9" t="n">
        <v>19</v>
      </c>
    </row>
    <row r="52" customFormat="false" ht="15" hidden="false" customHeight="false" outlineLevel="0" collapsed="false">
      <c r="A52" s="9" t="s">
        <v>51</v>
      </c>
      <c r="B52" s="9" t="s">
        <v>105</v>
      </c>
      <c r="C52" s="9" t="n">
        <v>91</v>
      </c>
      <c r="D52" s="9" t="n">
        <v>74</v>
      </c>
      <c r="E52" s="9" t="n">
        <v>14</v>
      </c>
    </row>
    <row r="53" customFormat="false" ht="15" hidden="false" customHeight="false" outlineLevel="0" collapsed="false">
      <c r="A53" s="9" t="s">
        <v>51</v>
      </c>
      <c r="B53" s="9" t="s">
        <v>108</v>
      </c>
      <c r="C53" s="9" t="n">
        <v>64</v>
      </c>
      <c r="D53" s="9" t="n">
        <v>55</v>
      </c>
      <c r="E53" s="9" t="n">
        <v>8</v>
      </c>
    </row>
    <row r="54" customFormat="false" ht="15" hidden="false" customHeight="false" outlineLevel="0" collapsed="false">
      <c r="A54" s="9" t="s">
        <v>53</v>
      </c>
      <c r="B54" s="9" t="s">
        <v>99</v>
      </c>
      <c r="C54" s="9" t="n">
        <v>112</v>
      </c>
      <c r="D54" s="9" t="n">
        <v>73</v>
      </c>
      <c r="E54" s="9" t="n">
        <v>11</v>
      </c>
    </row>
    <row r="55" customFormat="false" ht="15" hidden="false" customHeight="false" outlineLevel="0" collapsed="false">
      <c r="A55" s="9" t="s">
        <v>53</v>
      </c>
      <c r="B55" s="9" t="s">
        <v>102</v>
      </c>
      <c r="C55" s="9" t="n">
        <v>351</v>
      </c>
      <c r="D55" s="9" t="n">
        <v>238</v>
      </c>
      <c r="E55" s="9" t="n">
        <v>48</v>
      </c>
    </row>
    <row r="56" customFormat="false" ht="15" hidden="false" customHeight="false" outlineLevel="0" collapsed="false">
      <c r="A56" s="9" t="s">
        <v>53</v>
      </c>
      <c r="B56" s="9" t="s">
        <v>105</v>
      </c>
      <c r="C56" s="9" t="n">
        <v>185</v>
      </c>
      <c r="D56" s="9" t="n">
        <v>197</v>
      </c>
      <c r="E56" s="9" t="n">
        <v>52</v>
      </c>
    </row>
    <row r="57" customFormat="false" ht="15" hidden="false" customHeight="false" outlineLevel="0" collapsed="false">
      <c r="A57" s="9" t="s">
        <v>53</v>
      </c>
      <c r="B57" s="9" t="s">
        <v>108</v>
      </c>
      <c r="C57" s="9" t="n">
        <v>94</v>
      </c>
      <c r="D57" s="9" t="n">
        <v>35</v>
      </c>
      <c r="E57" s="9" t="n">
        <v>6</v>
      </c>
    </row>
    <row r="58" customFormat="false" ht="15" hidden="false" customHeight="false" outlineLevel="0" collapsed="false">
      <c r="A58" s="9" t="s">
        <v>55</v>
      </c>
      <c r="B58" s="9" t="s">
        <v>99</v>
      </c>
      <c r="C58" s="9" t="n">
        <v>149</v>
      </c>
      <c r="D58" s="9" t="n">
        <v>100</v>
      </c>
      <c r="E58" s="9" t="n">
        <v>24</v>
      </c>
    </row>
    <row r="59" customFormat="false" ht="15" hidden="false" customHeight="false" outlineLevel="0" collapsed="false">
      <c r="A59" s="9" t="s">
        <v>55</v>
      </c>
      <c r="B59" s="9" t="s">
        <v>102</v>
      </c>
      <c r="C59" s="9" t="n">
        <v>52</v>
      </c>
      <c r="D59" s="9" t="n">
        <v>37</v>
      </c>
      <c r="E59" s="9" t="n">
        <v>8</v>
      </c>
    </row>
    <row r="60" customFormat="false" ht="15" hidden="false" customHeight="false" outlineLevel="0" collapsed="false">
      <c r="A60" s="9" t="s">
        <v>55</v>
      </c>
      <c r="B60" s="9" t="s">
        <v>105</v>
      </c>
      <c r="C60" s="9" t="n">
        <v>80</v>
      </c>
      <c r="D60" s="9" t="n">
        <v>56</v>
      </c>
      <c r="E60" s="9" t="n">
        <v>15</v>
      </c>
    </row>
    <row r="61" customFormat="false" ht="15" hidden="false" customHeight="false" outlineLevel="0" collapsed="false">
      <c r="A61" s="9" t="s">
        <v>55</v>
      </c>
      <c r="B61" s="9" t="s">
        <v>108</v>
      </c>
      <c r="C61" s="9" t="n">
        <v>500</v>
      </c>
      <c r="D61" s="9" t="n">
        <v>284</v>
      </c>
      <c r="E61" s="9" t="n">
        <v>47</v>
      </c>
    </row>
    <row r="62" customFormat="false" ht="15" hidden="false" customHeight="false" outlineLevel="0" collapsed="false">
      <c r="A62" s="9" t="s">
        <v>57</v>
      </c>
      <c r="B62" s="9" t="s">
        <v>99</v>
      </c>
      <c r="C62" s="9" t="n">
        <v>158</v>
      </c>
      <c r="D62" s="9" t="n">
        <v>149</v>
      </c>
      <c r="E62" s="9" t="n">
        <v>94</v>
      </c>
    </row>
    <row r="63" customFormat="false" ht="15" hidden="false" customHeight="false" outlineLevel="0" collapsed="false">
      <c r="A63" s="9" t="s">
        <v>57</v>
      </c>
      <c r="B63" s="9" t="s">
        <v>102</v>
      </c>
      <c r="C63" s="9" t="n">
        <v>131</v>
      </c>
      <c r="D63" s="9" t="n">
        <v>114</v>
      </c>
      <c r="E63" s="9" t="n">
        <v>66</v>
      </c>
    </row>
    <row r="64" customFormat="false" ht="15" hidden="false" customHeight="false" outlineLevel="0" collapsed="false">
      <c r="A64" s="9" t="s">
        <v>57</v>
      </c>
      <c r="B64" s="9" t="s">
        <v>105</v>
      </c>
      <c r="C64" s="9" t="n">
        <v>37</v>
      </c>
      <c r="D64" s="9" t="n">
        <v>27</v>
      </c>
      <c r="E64" s="9" t="n">
        <v>15</v>
      </c>
    </row>
    <row r="65" customFormat="false" ht="15" hidden="false" customHeight="false" outlineLevel="0" collapsed="false">
      <c r="A65" s="9" t="s">
        <v>57</v>
      </c>
      <c r="B65" s="9" t="s">
        <v>108</v>
      </c>
      <c r="C65" s="9" t="n">
        <v>135</v>
      </c>
      <c r="D65" s="9" t="n">
        <v>115</v>
      </c>
      <c r="E65" s="9" t="n">
        <v>63</v>
      </c>
    </row>
    <row r="66" customFormat="false" ht="15" hidden="false" customHeight="false" outlineLevel="0" collapsed="false">
      <c r="A66" s="9" t="s">
        <v>59</v>
      </c>
      <c r="B66" s="9" t="s">
        <v>99</v>
      </c>
      <c r="C66" s="9" t="n">
        <v>232</v>
      </c>
      <c r="D66" s="9" t="n">
        <v>209</v>
      </c>
      <c r="E66" s="9" t="n">
        <v>40</v>
      </c>
    </row>
    <row r="67" customFormat="false" ht="15" hidden="false" customHeight="false" outlineLevel="0" collapsed="false">
      <c r="A67" s="9" t="s">
        <v>59</v>
      </c>
      <c r="B67" s="9" t="s">
        <v>102</v>
      </c>
      <c r="C67" s="9" t="n">
        <v>361</v>
      </c>
      <c r="D67" s="9" t="n">
        <v>167</v>
      </c>
      <c r="E67" s="9" t="n">
        <v>36</v>
      </c>
    </row>
    <row r="68" customFormat="false" ht="15" hidden="false" customHeight="false" outlineLevel="0" collapsed="false">
      <c r="A68" s="9" t="s">
        <v>59</v>
      </c>
      <c r="B68" s="9" t="s">
        <v>105</v>
      </c>
      <c r="C68" s="9" t="n">
        <v>148</v>
      </c>
      <c r="D68" s="9" t="n">
        <v>131</v>
      </c>
      <c r="E68" s="9" t="n">
        <v>27</v>
      </c>
    </row>
    <row r="69" customFormat="false" ht="15" hidden="false" customHeight="false" outlineLevel="0" collapsed="false">
      <c r="A69" s="9" t="s">
        <v>59</v>
      </c>
      <c r="B69" s="9" t="s">
        <v>108</v>
      </c>
      <c r="C69" s="9" t="n">
        <v>161</v>
      </c>
      <c r="D69" s="9" t="n">
        <v>143</v>
      </c>
      <c r="E69" s="9" t="n">
        <v>36</v>
      </c>
    </row>
    <row r="70" customFormat="false" ht="15" hidden="false" customHeight="false" outlineLevel="0" collapsed="false">
      <c r="A70" s="9" t="s">
        <v>61</v>
      </c>
      <c r="B70" s="9" t="s">
        <v>99</v>
      </c>
      <c r="C70" s="9" t="n">
        <v>392</v>
      </c>
      <c r="D70" s="9" t="n">
        <v>181</v>
      </c>
      <c r="E70" s="9" t="n">
        <v>95</v>
      </c>
    </row>
    <row r="71" customFormat="false" ht="15" hidden="false" customHeight="false" outlineLevel="0" collapsed="false">
      <c r="A71" s="9" t="s">
        <v>61</v>
      </c>
      <c r="B71" s="9" t="s">
        <v>102</v>
      </c>
      <c r="C71" s="9" t="n">
        <v>136</v>
      </c>
      <c r="D71" s="9" t="n">
        <v>63</v>
      </c>
      <c r="E71" s="9" t="n">
        <v>29</v>
      </c>
    </row>
    <row r="72" customFormat="false" ht="15" hidden="false" customHeight="false" outlineLevel="0" collapsed="false">
      <c r="A72" s="9" t="s">
        <v>61</v>
      </c>
      <c r="B72" s="9" t="s">
        <v>105</v>
      </c>
      <c r="C72" s="9" t="n">
        <v>142</v>
      </c>
      <c r="D72" s="9" t="n">
        <v>124</v>
      </c>
      <c r="E72" s="9" t="n">
        <v>63</v>
      </c>
    </row>
    <row r="73" customFormat="false" ht="15" hidden="false" customHeight="false" outlineLevel="0" collapsed="false">
      <c r="A73" s="9" t="s">
        <v>61</v>
      </c>
      <c r="B73" s="9" t="s">
        <v>108</v>
      </c>
      <c r="C73" s="9" t="n">
        <v>179</v>
      </c>
      <c r="D73" s="9" t="n">
        <v>100</v>
      </c>
      <c r="E73" s="9" t="n">
        <v>41</v>
      </c>
    </row>
    <row r="74" customFormat="false" ht="15" hidden="false" customHeight="false" outlineLevel="0" collapsed="false">
      <c r="A74" s="9" t="s">
        <v>63</v>
      </c>
      <c r="B74" s="9" t="s">
        <v>99</v>
      </c>
      <c r="C74" s="9" t="n">
        <v>96</v>
      </c>
      <c r="D74" s="9" t="n">
        <v>80</v>
      </c>
      <c r="E74" s="9" t="n">
        <v>22</v>
      </c>
    </row>
    <row r="75" customFormat="false" ht="15" hidden="false" customHeight="false" outlineLevel="0" collapsed="false">
      <c r="A75" s="9" t="s">
        <v>63</v>
      </c>
      <c r="B75" s="9" t="s">
        <v>102</v>
      </c>
      <c r="C75" s="9" t="n">
        <v>389</v>
      </c>
      <c r="D75" s="9" t="n">
        <v>176</v>
      </c>
      <c r="E75" s="9" t="n">
        <v>32</v>
      </c>
    </row>
    <row r="76" customFormat="false" ht="15" hidden="false" customHeight="false" outlineLevel="0" collapsed="false">
      <c r="A76" s="9" t="s">
        <v>63</v>
      </c>
      <c r="B76" s="9" t="s">
        <v>105</v>
      </c>
      <c r="C76" s="9" t="n">
        <v>60</v>
      </c>
      <c r="D76" s="9" t="n">
        <v>48</v>
      </c>
      <c r="E76" s="9" t="n">
        <v>15</v>
      </c>
    </row>
    <row r="77" customFormat="false" ht="15" hidden="false" customHeight="false" outlineLevel="0" collapsed="false">
      <c r="A77" s="9" t="s">
        <v>63</v>
      </c>
      <c r="B77" s="9" t="s">
        <v>108</v>
      </c>
      <c r="C77" s="9" t="n">
        <v>626</v>
      </c>
      <c r="D77" s="9" t="n">
        <v>305</v>
      </c>
      <c r="E77" s="9" t="n">
        <v>89</v>
      </c>
    </row>
    <row r="78" customFormat="false" ht="15" hidden="false" customHeight="false" outlineLevel="0" collapsed="false">
      <c r="A78" s="9" t="s">
        <v>65</v>
      </c>
      <c r="B78" s="9" t="s">
        <v>99</v>
      </c>
      <c r="C78" s="9" t="n">
        <v>87</v>
      </c>
      <c r="D78" s="9" t="n">
        <v>110</v>
      </c>
      <c r="E78" s="9" t="n">
        <v>74</v>
      </c>
    </row>
    <row r="79" customFormat="false" ht="15" hidden="false" customHeight="false" outlineLevel="0" collapsed="false">
      <c r="A79" s="9" t="s">
        <v>65</v>
      </c>
      <c r="B79" s="9" t="s">
        <v>102</v>
      </c>
      <c r="C79" s="9" t="n">
        <v>36</v>
      </c>
      <c r="D79" s="9" t="n">
        <v>38</v>
      </c>
      <c r="E79" s="9" t="n">
        <v>24</v>
      </c>
    </row>
    <row r="80" customFormat="false" ht="15" hidden="false" customHeight="false" outlineLevel="0" collapsed="false">
      <c r="A80" s="9" t="s">
        <v>65</v>
      </c>
      <c r="B80" s="9" t="s">
        <v>105</v>
      </c>
      <c r="C80" s="9" t="n">
        <v>120</v>
      </c>
      <c r="D80" s="9" t="n">
        <v>64</v>
      </c>
      <c r="E80" s="9" t="n">
        <v>35</v>
      </c>
    </row>
    <row r="81" customFormat="false" ht="15" hidden="false" customHeight="false" outlineLevel="0" collapsed="false">
      <c r="A81" s="9" t="s">
        <v>65</v>
      </c>
      <c r="B81" s="9" t="s">
        <v>108</v>
      </c>
      <c r="C81" s="9" t="n">
        <v>103</v>
      </c>
      <c r="D81" s="9" t="n">
        <v>71</v>
      </c>
      <c r="E81" s="9" t="n">
        <v>44</v>
      </c>
    </row>
    <row r="82" customFormat="false" ht="15" hidden="false" customHeight="false" outlineLevel="0" collapsed="false">
      <c r="A82" s="9" t="s">
        <v>67</v>
      </c>
      <c r="B82" s="9" t="s">
        <v>99</v>
      </c>
      <c r="C82" s="9" t="n">
        <v>472</v>
      </c>
      <c r="D82" s="9" t="n">
        <v>224</v>
      </c>
      <c r="E82" s="9" t="n">
        <v>72</v>
      </c>
    </row>
    <row r="83" customFormat="false" ht="15" hidden="false" customHeight="false" outlineLevel="0" collapsed="false">
      <c r="A83" s="9" t="s">
        <v>67</v>
      </c>
      <c r="B83" s="9" t="s">
        <v>102</v>
      </c>
      <c r="C83" s="9" t="n">
        <v>295</v>
      </c>
      <c r="D83" s="9" t="n">
        <v>185</v>
      </c>
      <c r="E83" s="9" t="n">
        <v>63</v>
      </c>
    </row>
    <row r="84" customFormat="false" ht="15" hidden="false" customHeight="false" outlineLevel="0" collapsed="false">
      <c r="A84" s="9" t="s">
        <v>67</v>
      </c>
      <c r="B84" s="9" t="s">
        <v>105</v>
      </c>
      <c r="C84" s="9" t="n">
        <v>63</v>
      </c>
      <c r="D84" s="9" t="n">
        <v>43</v>
      </c>
      <c r="E84" s="9" t="n">
        <v>9</v>
      </c>
    </row>
    <row r="85" customFormat="false" ht="15" hidden="false" customHeight="false" outlineLevel="0" collapsed="false">
      <c r="A85" s="9" t="s">
        <v>67</v>
      </c>
      <c r="B85" s="9" t="s">
        <v>108</v>
      </c>
      <c r="C85" s="9" t="n">
        <v>223</v>
      </c>
      <c r="D85" s="9" t="n">
        <v>131</v>
      </c>
      <c r="E85" s="9" t="n">
        <v>42</v>
      </c>
    </row>
    <row r="86" customFormat="false" ht="15" hidden="false" customHeight="false" outlineLevel="0" collapsed="false">
      <c r="A86" s="9" t="s">
        <v>69</v>
      </c>
      <c r="B86" s="9" t="s">
        <v>99</v>
      </c>
      <c r="C86" s="9" t="n">
        <v>172</v>
      </c>
      <c r="D86" s="9" t="n">
        <v>122</v>
      </c>
      <c r="E86" s="9" t="n">
        <v>37</v>
      </c>
    </row>
    <row r="87" customFormat="false" ht="15" hidden="false" customHeight="false" outlineLevel="0" collapsed="false">
      <c r="A87" s="9" t="s">
        <v>69</v>
      </c>
      <c r="B87" s="9" t="s">
        <v>102</v>
      </c>
      <c r="C87" s="9" t="n">
        <v>114</v>
      </c>
      <c r="D87" s="9" t="n">
        <v>93</v>
      </c>
      <c r="E87" s="9" t="n">
        <v>21</v>
      </c>
    </row>
    <row r="88" customFormat="false" ht="15" hidden="false" customHeight="false" outlineLevel="0" collapsed="false">
      <c r="A88" s="9" t="s">
        <v>69</v>
      </c>
      <c r="B88" s="9" t="s">
        <v>105</v>
      </c>
      <c r="C88" s="9" t="n">
        <v>107</v>
      </c>
      <c r="D88" s="9" t="n">
        <v>60</v>
      </c>
      <c r="E88" s="9" t="n">
        <v>12</v>
      </c>
    </row>
    <row r="89" customFormat="false" ht="15" hidden="false" customHeight="false" outlineLevel="0" collapsed="false">
      <c r="A89" s="9" t="s">
        <v>69</v>
      </c>
      <c r="B89" s="9" t="s">
        <v>108</v>
      </c>
      <c r="C89" s="9" t="n">
        <v>283</v>
      </c>
      <c r="D89" s="9" t="n">
        <v>139</v>
      </c>
      <c r="E89" s="9" t="n">
        <v>32</v>
      </c>
    </row>
    <row r="90" customFormat="false" ht="15" hidden="false" customHeight="false" outlineLevel="0" collapsed="false">
      <c r="A90" s="9" t="s">
        <v>71</v>
      </c>
      <c r="B90" s="9" t="s">
        <v>99</v>
      </c>
      <c r="C90" s="9" t="n">
        <v>278</v>
      </c>
      <c r="D90" s="9" t="n">
        <v>199</v>
      </c>
      <c r="E90" s="9" t="n">
        <v>59</v>
      </c>
    </row>
    <row r="91" customFormat="false" ht="15" hidden="false" customHeight="false" outlineLevel="0" collapsed="false">
      <c r="A91" s="9" t="s">
        <v>71</v>
      </c>
      <c r="B91" s="9" t="s">
        <v>102</v>
      </c>
      <c r="C91" s="9" t="n">
        <v>310</v>
      </c>
      <c r="D91" s="9" t="n">
        <v>158</v>
      </c>
      <c r="E91" s="9" t="n">
        <v>35</v>
      </c>
    </row>
    <row r="92" customFormat="false" ht="15" hidden="false" customHeight="false" outlineLevel="0" collapsed="false">
      <c r="A92" s="9" t="s">
        <v>71</v>
      </c>
      <c r="B92" s="9" t="s">
        <v>105</v>
      </c>
      <c r="C92" s="9" t="n">
        <v>397</v>
      </c>
      <c r="D92" s="9" t="n">
        <v>252</v>
      </c>
      <c r="E92" s="9" t="n">
        <v>75</v>
      </c>
    </row>
    <row r="93" customFormat="false" ht="15" hidden="false" customHeight="false" outlineLevel="0" collapsed="false">
      <c r="A93" s="9" t="s">
        <v>71</v>
      </c>
      <c r="B93" s="9" t="s">
        <v>108</v>
      </c>
      <c r="C93" s="9" t="n">
        <v>83</v>
      </c>
      <c r="D93" s="9" t="n">
        <v>279</v>
      </c>
      <c r="E93" s="9" t="n">
        <v>72</v>
      </c>
    </row>
    <row r="94" customFormat="false" ht="15" hidden="false" customHeight="false" outlineLevel="0" collapsed="false">
      <c r="A94" s="9" t="s">
        <v>73</v>
      </c>
      <c r="B94" s="9" t="s">
        <v>99</v>
      </c>
      <c r="C94" s="9" t="n">
        <v>171</v>
      </c>
      <c r="D94" s="9" t="n">
        <v>127</v>
      </c>
      <c r="E94" s="9" t="n">
        <v>53</v>
      </c>
    </row>
    <row r="95" customFormat="false" ht="15" hidden="false" customHeight="false" outlineLevel="0" collapsed="false">
      <c r="A95" s="9" t="s">
        <v>73</v>
      </c>
      <c r="B95" s="9" t="s">
        <v>102</v>
      </c>
      <c r="C95" s="9" t="n">
        <v>70</v>
      </c>
      <c r="D95" s="9" t="n">
        <v>105</v>
      </c>
      <c r="E95" s="9" t="n">
        <v>46</v>
      </c>
    </row>
    <row r="96" customFormat="false" ht="15" hidden="false" customHeight="false" outlineLevel="0" collapsed="false">
      <c r="A96" s="9" t="s">
        <v>73</v>
      </c>
      <c r="B96" s="9" t="s">
        <v>105</v>
      </c>
      <c r="C96" s="9" t="n">
        <v>142</v>
      </c>
      <c r="D96" s="9" t="n">
        <v>94</v>
      </c>
      <c r="E96" s="9" t="n">
        <v>35</v>
      </c>
    </row>
    <row r="97" customFormat="false" ht="15" hidden="false" customHeight="false" outlineLevel="0" collapsed="false">
      <c r="A97" s="9" t="s">
        <v>73</v>
      </c>
      <c r="B97" s="9" t="s">
        <v>108</v>
      </c>
      <c r="C97" s="9" t="n">
        <v>116</v>
      </c>
      <c r="D97" s="9" t="n">
        <v>196</v>
      </c>
      <c r="E97" s="9" t="n">
        <v>85</v>
      </c>
    </row>
    <row r="98" customFormat="false" ht="15" hidden="false" customHeight="false" outlineLevel="0" collapsed="false">
      <c r="A98" s="9" t="s">
        <v>75</v>
      </c>
      <c r="B98" s="9" t="s">
        <v>99</v>
      </c>
      <c r="C98" s="9" t="n">
        <v>389</v>
      </c>
      <c r="D98" s="9" t="n">
        <v>366</v>
      </c>
      <c r="E98" s="9" t="n">
        <v>97</v>
      </c>
    </row>
    <row r="99" customFormat="false" ht="15" hidden="false" customHeight="false" outlineLevel="0" collapsed="false">
      <c r="A99" s="9" t="s">
        <v>75</v>
      </c>
      <c r="B99" s="9" t="s">
        <v>102</v>
      </c>
      <c r="C99" s="9" t="n">
        <v>373</v>
      </c>
      <c r="D99" s="9" t="n">
        <v>273</v>
      </c>
      <c r="E99" s="9" t="n">
        <v>44</v>
      </c>
    </row>
    <row r="100" customFormat="false" ht="15" hidden="false" customHeight="false" outlineLevel="0" collapsed="false">
      <c r="A100" s="9" t="s">
        <v>75</v>
      </c>
      <c r="B100" s="9" t="s">
        <v>105</v>
      </c>
      <c r="C100" s="9" t="n">
        <v>87</v>
      </c>
      <c r="D100" s="9" t="n">
        <v>56</v>
      </c>
      <c r="E100" s="9" t="n">
        <v>15</v>
      </c>
    </row>
    <row r="101" customFormat="false" ht="15" hidden="false" customHeight="false" outlineLevel="0" collapsed="false">
      <c r="A101" s="9" t="s">
        <v>75</v>
      </c>
      <c r="B101" s="9" t="s">
        <v>108</v>
      </c>
      <c r="C101" s="9" t="n">
        <v>132</v>
      </c>
      <c r="D101" s="9" t="n">
        <v>95</v>
      </c>
      <c r="E101" s="9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8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12" t="s">
        <v>19</v>
      </c>
      <c r="B1" s="12" t="s">
        <v>7</v>
      </c>
      <c r="C1" s="12" t="s">
        <v>8</v>
      </c>
      <c r="D1" s="12" t="s">
        <v>97</v>
      </c>
      <c r="E1" s="12" t="s">
        <v>10</v>
      </c>
      <c r="F1" s="12" t="s">
        <v>78</v>
      </c>
      <c r="G1" s="12" t="s">
        <v>79</v>
      </c>
      <c r="H1" s="12" t="s">
        <v>112</v>
      </c>
      <c r="I1" s="12" t="s">
        <v>113</v>
      </c>
      <c r="J1" s="12" t="s">
        <v>114</v>
      </c>
      <c r="K1" s="12" t="s">
        <v>115</v>
      </c>
    </row>
    <row r="2" customFormat="false" ht="15" hidden="false" customHeight="false" outlineLevel="0" collapsed="false">
      <c r="A2" s="9" t="s">
        <v>25</v>
      </c>
      <c r="B2" s="9" t="s">
        <v>26</v>
      </c>
      <c r="C2" s="9" t="s">
        <v>27</v>
      </c>
      <c r="D2" s="9" t="s">
        <v>105</v>
      </c>
      <c r="E2" s="9" t="s">
        <v>106</v>
      </c>
      <c r="F2" s="9" t="s">
        <v>84</v>
      </c>
      <c r="G2" s="9" t="n">
        <v>19</v>
      </c>
      <c r="H2" s="9" t="n">
        <v>14.8979591836735</v>
      </c>
      <c r="I2" s="9" t="n">
        <v>9.00750820602638</v>
      </c>
      <c r="J2" s="9" t="n">
        <v>65</v>
      </c>
      <c r="K2" s="9" t="n">
        <v>348</v>
      </c>
    </row>
    <row r="3" customFormat="false" ht="15" hidden="false" customHeight="false" outlineLevel="0" collapsed="false">
      <c r="A3" s="9" t="s">
        <v>51</v>
      </c>
      <c r="B3" s="9" t="s">
        <v>52</v>
      </c>
      <c r="C3" s="9" t="s">
        <v>30</v>
      </c>
      <c r="D3" s="9" t="s">
        <v>105</v>
      </c>
      <c r="E3" s="9" t="s">
        <v>106</v>
      </c>
      <c r="F3" s="9" t="s">
        <v>84</v>
      </c>
      <c r="G3" s="9" t="n">
        <v>18</v>
      </c>
      <c r="H3" s="9" t="n">
        <v>15.9387755102041</v>
      </c>
      <c r="I3" s="9" t="n">
        <v>8.2396605999714</v>
      </c>
      <c r="J3" s="9" t="n">
        <v>58</v>
      </c>
      <c r="K3" s="9" t="n">
        <v>345</v>
      </c>
    </row>
    <row r="4" customFormat="false" ht="15" hidden="false" customHeight="false" outlineLevel="0" collapsed="false">
      <c r="A4" s="9" t="s">
        <v>75</v>
      </c>
      <c r="B4" s="9" t="s">
        <v>76</v>
      </c>
      <c r="C4" s="9" t="s">
        <v>36</v>
      </c>
      <c r="D4" s="9" t="s">
        <v>99</v>
      </c>
      <c r="E4" s="9" t="s">
        <v>100</v>
      </c>
      <c r="F4" s="9" t="s">
        <v>82</v>
      </c>
      <c r="G4" s="9" t="n">
        <v>18</v>
      </c>
      <c r="H4" s="9" t="n">
        <v>15.3809523809524</v>
      </c>
      <c r="I4" s="9" t="n">
        <v>9.50115200388467</v>
      </c>
      <c r="J4" s="9" t="n">
        <v>67</v>
      </c>
      <c r="K4" s="9" t="n">
        <v>344</v>
      </c>
    </row>
    <row r="5" customFormat="false" ht="15" hidden="false" customHeight="false" outlineLevel="0" collapsed="false">
      <c r="A5" s="9" t="s">
        <v>43</v>
      </c>
      <c r="B5" s="9" t="s">
        <v>44</v>
      </c>
      <c r="C5" s="9" t="s">
        <v>33</v>
      </c>
      <c r="D5" s="9" t="s">
        <v>102</v>
      </c>
      <c r="E5" s="9" t="s">
        <v>103</v>
      </c>
      <c r="F5" s="9" t="s">
        <v>86</v>
      </c>
      <c r="G5" s="9" t="n">
        <v>18</v>
      </c>
      <c r="H5" s="9" t="n">
        <v>15.3114754098361</v>
      </c>
      <c r="I5" s="9" t="n">
        <v>9.18429997986883</v>
      </c>
      <c r="J5" s="9" t="n">
        <v>64</v>
      </c>
      <c r="K5" s="9" t="n">
        <v>340</v>
      </c>
    </row>
    <row r="6" customFormat="false" ht="15" hidden="false" customHeight="false" outlineLevel="0" collapsed="false">
      <c r="A6" s="9" t="s">
        <v>31</v>
      </c>
      <c r="B6" s="9" t="s">
        <v>32</v>
      </c>
      <c r="C6" s="9" t="s">
        <v>33</v>
      </c>
      <c r="D6" s="9" t="s">
        <v>105</v>
      </c>
      <c r="E6" s="9" t="s">
        <v>106</v>
      </c>
      <c r="F6" s="9" t="s">
        <v>82</v>
      </c>
      <c r="G6" s="9" t="n">
        <v>19</v>
      </c>
      <c r="H6" s="9" t="n">
        <v>15.0714285714286</v>
      </c>
      <c r="I6" s="9" t="n">
        <v>7.3949789915668</v>
      </c>
      <c r="J6" s="9" t="n">
        <v>53</v>
      </c>
      <c r="K6" s="9" t="n">
        <v>339</v>
      </c>
    </row>
    <row r="7" customFormat="false" ht="15" hidden="false" customHeight="false" outlineLevel="0" collapsed="false">
      <c r="A7" s="9" t="s">
        <v>25</v>
      </c>
      <c r="B7" s="9" t="s">
        <v>26</v>
      </c>
      <c r="C7" s="9" t="s">
        <v>27</v>
      </c>
      <c r="D7" s="9" t="s">
        <v>108</v>
      </c>
      <c r="E7" s="9" t="s">
        <v>109</v>
      </c>
      <c r="F7" s="9" t="s">
        <v>84</v>
      </c>
      <c r="G7" s="9" t="n">
        <v>19</v>
      </c>
      <c r="H7" s="9" t="n">
        <v>14.34</v>
      </c>
      <c r="I7" s="9" t="n">
        <v>8.92053352481492</v>
      </c>
      <c r="J7" s="9" t="n">
        <v>64</v>
      </c>
      <c r="K7" s="9" t="n">
        <v>336</v>
      </c>
    </row>
    <row r="8" customFormat="false" ht="15" hidden="false" customHeight="false" outlineLevel="0" collapsed="false">
      <c r="A8" s="9" t="s">
        <v>31</v>
      </c>
      <c r="B8" s="9" t="s">
        <v>32</v>
      </c>
      <c r="C8" s="9" t="s">
        <v>33</v>
      </c>
      <c r="D8" s="9" t="s">
        <v>99</v>
      </c>
      <c r="E8" s="9" t="s">
        <v>100</v>
      </c>
      <c r="F8" s="9" t="s">
        <v>82</v>
      </c>
      <c r="G8" s="9" t="n">
        <v>19</v>
      </c>
      <c r="H8" s="9" t="n">
        <v>14.6</v>
      </c>
      <c r="I8" s="9" t="n">
        <v>7.36256799000236</v>
      </c>
      <c r="J8" s="9" t="n">
        <v>53</v>
      </c>
      <c r="K8" s="9" t="n">
        <v>330</v>
      </c>
    </row>
    <row r="9" customFormat="false" ht="15" hidden="false" customHeight="false" outlineLevel="0" collapsed="false">
      <c r="A9" s="9" t="s">
        <v>39</v>
      </c>
      <c r="B9" s="9" t="s">
        <v>40</v>
      </c>
      <c r="C9" s="9" t="s">
        <v>27</v>
      </c>
      <c r="D9" s="9" t="s">
        <v>102</v>
      </c>
      <c r="E9" s="9" t="s">
        <v>103</v>
      </c>
      <c r="F9" s="9" t="s">
        <v>84</v>
      </c>
      <c r="G9" s="9" t="n">
        <v>18</v>
      </c>
      <c r="H9" s="9" t="n">
        <v>15.1162790697674</v>
      </c>
      <c r="I9" s="9" t="n">
        <v>7.47761517344739</v>
      </c>
      <c r="J9" s="9" t="n">
        <v>52</v>
      </c>
      <c r="K9" s="9" t="n">
        <v>324</v>
      </c>
    </row>
    <row r="10" customFormat="false" ht="15" hidden="false" customHeight="false" outlineLevel="0" collapsed="false">
      <c r="A10" s="9" t="s">
        <v>63</v>
      </c>
      <c r="B10" s="9" t="s">
        <v>64</v>
      </c>
      <c r="C10" s="9" t="s">
        <v>33</v>
      </c>
      <c r="D10" s="9" t="s">
        <v>105</v>
      </c>
      <c r="E10" s="9" t="s">
        <v>106</v>
      </c>
      <c r="F10" s="9" t="s">
        <v>90</v>
      </c>
      <c r="G10" s="9" t="n">
        <v>15</v>
      </c>
      <c r="H10" s="9" t="n">
        <v>17.2444444444444</v>
      </c>
      <c r="I10" s="9" t="n">
        <v>9.77742194026523</v>
      </c>
      <c r="J10" s="9" t="n">
        <v>62</v>
      </c>
      <c r="K10" s="9" t="n">
        <v>321</v>
      </c>
    </row>
    <row r="11" customFormat="false" ht="15" hidden="false" customHeight="false" outlineLevel="0" collapsed="false">
      <c r="A11" s="9" t="s">
        <v>49</v>
      </c>
      <c r="B11" s="9" t="s">
        <v>50</v>
      </c>
      <c r="C11" s="9" t="s">
        <v>27</v>
      </c>
      <c r="D11" s="9" t="s">
        <v>102</v>
      </c>
      <c r="E11" s="9" t="s">
        <v>103</v>
      </c>
      <c r="F11" s="9" t="s">
        <v>90</v>
      </c>
      <c r="G11" s="9" t="n">
        <v>19</v>
      </c>
      <c r="H11" s="9" t="n">
        <v>13.9038461538462</v>
      </c>
      <c r="I11" s="9" t="n">
        <v>7.79959681055629</v>
      </c>
      <c r="J11" s="9" t="n">
        <v>56</v>
      </c>
      <c r="K11" s="9" t="n">
        <v>320</v>
      </c>
    </row>
    <row r="12" customFormat="false" ht="15" hidden="false" customHeight="false" outlineLevel="0" collapsed="false">
      <c r="A12" s="9" t="s">
        <v>28</v>
      </c>
      <c r="B12" s="9" t="s">
        <v>29</v>
      </c>
      <c r="C12" s="9" t="s">
        <v>30</v>
      </c>
      <c r="D12" s="9" t="s">
        <v>99</v>
      </c>
      <c r="E12" s="9" t="s">
        <v>100</v>
      </c>
      <c r="F12" s="9" t="s">
        <v>86</v>
      </c>
      <c r="G12" s="9" t="n">
        <v>17</v>
      </c>
      <c r="H12" s="9" t="n">
        <v>14.84</v>
      </c>
      <c r="I12" s="9" t="n">
        <v>9.65393015030349</v>
      </c>
      <c r="J12" s="9" t="n">
        <v>66</v>
      </c>
      <c r="K12" s="9" t="n">
        <v>318</v>
      </c>
    </row>
    <row r="13" customFormat="false" ht="15" hidden="false" customHeight="false" outlineLevel="0" collapsed="false">
      <c r="A13" s="9" t="s">
        <v>37</v>
      </c>
      <c r="B13" s="9" t="s">
        <v>38</v>
      </c>
      <c r="C13" s="9" t="s">
        <v>24</v>
      </c>
      <c r="D13" s="9" t="s">
        <v>99</v>
      </c>
      <c r="E13" s="9" t="s">
        <v>100</v>
      </c>
      <c r="F13" s="9" t="s">
        <v>88</v>
      </c>
      <c r="G13" s="9" t="n">
        <v>17</v>
      </c>
      <c r="H13" s="9" t="n">
        <v>15.6153846153846</v>
      </c>
      <c r="I13" s="9" t="n">
        <v>7.66492865079118</v>
      </c>
      <c r="J13" s="9" t="n">
        <v>52</v>
      </c>
      <c r="K13" s="9" t="n">
        <v>317</v>
      </c>
    </row>
    <row r="14" customFormat="false" ht="15" hidden="false" customHeight="false" outlineLevel="0" collapsed="false">
      <c r="A14" s="9" t="s">
        <v>55</v>
      </c>
      <c r="B14" s="9" t="s">
        <v>56</v>
      </c>
      <c r="C14" s="9" t="s">
        <v>36</v>
      </c>
      <c r="D14" s="9" t="s">
        <v>99</v>
      </c>
      <c r="E14" s="9" t="s">
        <v>100</v>
      </c>
      <c r="F14" s="9" t="s">
        <v>90</v>
      </c>
      <c r="G14" s="9" t="n">
        <v>17</v>
      </c>
      <c r="H14" s="9" t="n">
        <v>15.2115384615385</v>
      </c>
      <c r="I14" s="9" t="n">
        <v>8.46292152415358</v>
      </c>
      <c r="J14" s="9" t="n">
        <v>58</v>
      </c>
      <c r="K14" s="9" t="n">
        <v>317</v>
      </c>
    </row>
    <row r="15" customFormat="false" ht="15" hidden="false" customHeight="false" outlineLevel="0" collapsed="false">
      <c r="A15" s="9" t="s">
        <v>47</v>
      </c>
      <c r="B15" s="9" t="s">
        <v>48</v>
      </c>
      <c r="C15" s="9" t="s">
        <v>24</v>
      </c>
      <c r="D15" s="9" t="s">
        <v>108</v>
      </c>
      <c r="E15" s="9" t="s">
        <v>109</v>
      </c>
      <c r="F15" s="9" t="s">
        <v>82</v>
      </c>
      <c r="G15" s="9" t="n">
        <v>18</v>
      </c>
      <c r="H15" s="9" t="n">
        <v>14.0588235294118</v>
      </c>
      <c r="I15" s="9" t="n">
        <v>9.10474989158051</v>
      </c>
      <c r="J15" s="9" t="n">
        <v>64</v>
      </c>
      <c r="K15" s="9" t="n">
        <v>317</v>
      </c>
    </row>
    <row r="16" customFormat="false" ht="15" hidden="false" customHeight="false" outlineLevel="0" collapsed="false">
      <c r="A16" s="9" t="s">
        <v>49</v>
      </c>
      <c r="B16" s="9" t="s">
        <v>50</v>
      </c>
      <c r="C16" s="9" t="s">
        <v>27</v>
      </c>
      <c r="D16" s="9" t="s">
        <v>108</v>
      </c>
      <c r="E16" s="9" t="s">
        <v>109</v>
      </c>
      <c r="F16" s="9" t="s">
        <v>90</v>
      </c>
      <c r="G16" s="9" t="n">
        <v>19</v>
      </c>
      <c r="H16" s="9" t="n">
        <v>13.7454545454546</v>
      </c>
      <c r="I16" s="9" t="n">
        <v>7.70093352161782</v>
      </c>
      <c r="J16" s="9" t="n">
        <v>55</v>
      </c>
      <c r="K16" s="9" t="n">
        <v>316</v>
      </c>
    </row>
    <row r="17" customFormat="false" ht="15" hidden="false" customHeight="false" outlineLevel="0" collapsed="false">
      <c r="A17" s="9" t="s">
        <v>53</v>
      </c>
      <c r="B17" s="9" t="s">
        <v>54</v>
      </c>
      <c r="C17" s="9" t="s">
        <v>33</v>
      </c>
      <c r="D17" s="9" t="s">
        <v>99</v>
      </c>
      <c r="E17" s="9" t="s">
        <v>100</v>
      </c>
      <c r="F17" s="9" t="s">
        <v>86</v>
      </c>
      <c r="G17" s="9" t="n">
        <v>18</v>
      </c>
      <c r="H17" s="9" t="n">
        <v>13.7017543859649</v>
      </c>
      <c r="I17" s="9" t="n">
        <v>9.88499026714005</v>
      </c>
      <c r="J17" s="9" t="n">
        <v>69</v>
      </c>
      <c r="K17" s="9" t="n">
        <v>316</v>
      </c>
    </row>
    <row r="18" customFormat="false" ht="15" hidden="false" customHeight="false" outlineLevel="0" collapsed="false">
      <c r="A18" s="9" t="s">
        <v>37</v>
      </c>
      <c r="B18" s="9" t="s">
        <v>38</v>
      </c>
      <c r="C18" s="9" t="s">
        <v>24</v>
      </c>
      <c r="D18" s="9" t="s">
        <v>105</v>
      </c>
      <c r="E18" s="9" t="s">
        <v>106</v>
      </c>
      <c r="F18" s="9" t="s">
        <v>88</v>
      </c>
      <c r="G18" s="9" t="n">
        <v>17</v>
      </c>
      <c r="H18" s="9" t="n">
        <v>14.6315789473684</v>
      </c>
      <c r="I18" s="9" t="n">
        <v>9.69652290210143</v>
      </c>
      <c r="J18" s="9" t="n">
        <v>66</v>
      </c>
      <c r="K18" s="9" t="n">
        <v>315</v>
      </c>
    </row>
    <row r="19" customFormat="false" ht="15" hidden="false" customHeight="false" outlineLevel="0" collapsed="false">
      <c r="A19" s="9" t="s">
        <v>28</v>
      </c>
      <c r="B19" s="9" t="s">
        <v>29</v>
      </c>
      <c r="C19" s="9" t="s">
        <v>30</v>
      </c>
      <c r="D19" s="9" t="s">
        <v>105</v>
      </c>
      <c r="E19" s="9" t="s">
        <v>106</v>
      </c>
      <c r="F19" s="9" t="s">
        <v>86</v>
      </c>
      <c r="G19" s="9" t="n">
        <v>17</v>
      </c>
      <c r="H19" s="9" t="n">
        <v>14.65</v>
      </c>
      <c r="I19" s="9" t="n">
        <v>9.65706862142826</v>
      </c>
      <c r="J19" s="9" t="n">
        <v>66</v>
      </c>
      <c r="K19" s="9" t="n">
        <v>315</v>
      </c>
    </row>
    <row r="20" customFormat="false" ht="15" hidden="false" customHeight="false" outlineLevel="0" collapsed="false">
      <c r="A20" s="9" t="s">
        <v>43</v>
      </c>
      <c r="B20" s="9" t="s">
        <v>44</v>
      </c>
      <c r="C20" s="9" t="s">
        <v>33</v>
      </c>
      <c r="D20" s="9" t="s">
        <v>108</v>
      </c>
      <c r="E20" s="9" t="s">
        <v>109</v>
      </c>
      <c r="F20" s="9" t="s">
        <v>86</v>
      </c>
      <c r="G20" s="9" t="n">
        <v>18</v>
      </c>
      <c r="H20" s="9" t="n">
        <v>14.0740740740741</v>
      </c>
      <c r="I20" s="9" t="n">
        <v>8.65448264665208</v>
      </c>
      <c r="J20" s="9" t="n">
        <v>61</v>
      </c>
      <c r="K20" s="9" t="n">
        <v>314</v>
      </c>
    </row>
    <row r="21" customFormat="false" ht="15" hidden="false" customHeight="false" outlineLevel="0" collapsed="false">
      <c r="A21" s="9" t="s">
        <v>75</v>
      </c>
      <c r="B21" s="9" t="s">
        <v>76</v>
      </c>
      <c r="C21" s="9" t="s">
        <v>36</v>
      </c>
      <c r="D21" s="9" t="s">
        <v>102</v>
      </c>
      <c r="E21" s="9" t="s">
        <v>103</v>
      </c>
      <c r="F21" s="9" t="s">
        <v>82</v>
      </c>
      <c r="G21" s="9" t="n">
        <v>18</v>
      </c>
      <c r="H21" s="9" t="n">
        <v>13.5416666666667</v>
      </c>
      <c r="I21" s="9" t="n">
        <v>9.78265580555347</v>
      </c>
      <c r="J21" s="9" t="n">
        <v>68</v>
      </c>
      <c r="K21" s="9" t="n">
        <v>312</v>
      </c>
    </row>
    <row r="22" customFormat="false" ht="15" hidden="false" customHeight="false" outlineLevel="0" collapsed="false">
      <c r="A22" s="9" t="s">
        <v>49</v>
      </c>
      <c r="B22" s="9" t="s">
        <v>50</v>
      </c>
      <c r="C22" s="9" t="s">
        <v>27</v>
      </c>
      <c r="D22" s="9" t="s">
        <v>99</v>
      </c>
      <c r="E22" s="9" t="s">
        <v>100</v>
      </c>
      <c r="F22" s="9" t="s">
        <v>90</v>
      </c>
      <c r="G22" s="9" t="n">
        <v>19</v>
      </c>
      <c r="H22" s="9" t="n">
        <v>13.3018867924528</v>
      </c>
      <c r="I22" s="9" t="n">
        <v>7.887636151843</v>
      </c>
      <c r="J22" s="9" t="n">
        <v>57</v>
      </c>
      <c r="K22" s="9" t="n">
        <v>310</v>
      </c>
    </row>
    <row r="23" customFormat="false" ht="15" hidden="false" customHeight="false" outlineLevel="0" collapsed="false">
      <c r="A23" s="9" t="s">
        <v>75</v>
      </c>
      <c r="B23" s="9" t="s">
        <v>76</v>
      </c>
      <c r="C23" s="9" t="s">
        <v>36</v>
      </c>
      <c r="D23" s="9" t="s">
        <v>108</v>
      </c>
      <c r="E23" s="9" t="s">
        <v>109</v>
      </c>
      <c r="F23" s="9" t="s">
        <v>82</v>
      </c>
      <c r="G23" s="9" t="n">
        <v>18</v>
      </c>
      <c r="H23" s="9" t="n">
        <v>14.2093023255814</v>
      </c>
      <c r="I23" s="9" t="n">
        <v>7.46279068041952</v>
      </c>
      <c r="J23" s="9" t="n">
        <v>52</v>
      </c>
      <c r="K23" s="9" t="n">
        <v>308</v>
      </c>
    </row>
    <row r="24" customFormat="false" ht="15" hidden="false" customHeight="false" outlineLevel="0" collapsed="false">
      <c r="A24" s="9" t="s">
        <v>45</v>
      </c>
      <c r="B24" s="9" t="s">
        <v>46</v>
      </c>
      <c r="C24" s="9" t="s">
        <v>36</v>
      </c>
      <c r="D24" s="9" t="s">
        <v>99</v>
      </c>
      <c r="E24" s="9" t="s">
        <v>100</v>
      </c>
      <c r="F24" s="9" t="s">
        <v>84</v>
      </c>
      <c r="G24" s="9" t="n">
        <v>17</v>
      </c>
      <c r="H24" s="9" t="n">
        <v>15.3783783783784</v>
      </c>
      <c r="I24" s="9" t="n">
        <v>6.7220671066411</v>
      </c>
      <c r="J24" s="9" t="n">
        <v>46</v>
      </c>
      <c r="K24" s="9" t="n">
        <v>307</v>
      </c>
    </row>
    <row r="25" customFormat="false" ht="15" hidden="false" customHeight="false" outlineLevel="0" collapsed="false">
      <c r="A25" s="9" t="s">
        <v>25</v>
      </c>
      <c r="B25" s="9" t="s">
        <v>26</v>
      </c>
      <c r="C25" s="9" t="s">
        <v>27</v>
      </c>
      <c r="D25" s="9" t="s">
        <v>102</v>
      </c>
      <c r="E25" s="9" t="s">
        <v>103</v>
      </c>
      <c r="F25" s="9" t="s">
        <v>84</v>
      </c>
      <c r="G25" s="9" t="n">
        <v>19</v>
      </c>
      <c r="H25" s="9" t="n">
        <v>12.9122807017544</v>
      </c>
      <c r="I25" s="9" t="n">
        <v>8.46480254970627</v>
      </c>
      <c r="J25" s="9" t="n">
        <v>61</v>
      </c>
      <c r="K25" s="9" t="n">
        <v>306</v>
      </c>
    </row>
    <row r="26" customFormat="false" ht="15" hidden="false" customHeight="false" outlineLevel="0" collapsed="false">
      <c r="A26" s="9" t="s">
        <v>31</v>
      </c>
      <c r="B26" s="9" t="s">
        <v>32</v>
      </c>
      <c r="C26" s="9" t="s">
        <v>33</v>
      </c>
      <c r="D26" s="9" t="s">
        <v>102</v>
      </c>
      <c r="E26" s="9" t="s">
        <v>103</v>
      </c>
      <c r="F26" s="9" t="s">
        <v>82</v>
      </c>
      <c r="G26" s="9" t="n">
        <v>19</v>
      </c>
      <c r="H26" s="9" t="n">
        <v>13.1176470588235</v>
      </c>
      <c r="I26" s="9" t="n">
        <v>7.38010042973273</v>
      </c>
      <c r="J26" s="9" t="n">
        <v>53</v>
      </c>
      <c r="K26" s="9" t="n">
        <v>302</v>
      </c>
    </row>
    <row r="27" customFormat="false" ht="15" hidden="false" customHeight="false" outlineLevel="0" collapsed="false">
      <c r="A27" s="9" t="s">
        <v>55</v>
      </c>
      <c r="B27" s="9" t="s">
        <v>56</v>
      </c>
      <c r="C27" s="9" t="s">
        <v>36</v>
      </c>
      <c r="D27" s="9" t="s">
        <v>105</v>
      </c>
      <c r="E27" s="9" t="s">
        <v>106</v>
      </c>
      <c r="F27" s="9" t="s">
        <v>90</v>
      </c>
      <c r="G27" s="9" t="n">
        <v>17</v>
      </c>
      <c r="H27" s="9" t="n">
        <v>14.6176470588235</v>
      </c>
      <c r="I27" s="9" t="n">
        <v>7.76946121872254</v>
      </c>
      <c r="J27" s="9" t="n">
        <v>53</v>
      </c>
      <c r="K27" s="9" t="n">
        <v>302</v>
      </c>
    </row>
    <row r="28" customFormat="false" ht="15" hidden="false" customHeight="false" outlineLevel="0" collapsed="false">
      <c r="A28" s="9" t="s">
        <v>43</v>
      </c>
      <c r="B28" s="9" t="s">
        <v>44</v>
      </c>
      <c r="C28" s="9" t="s">
        <v>33</v>
      </c>
      <c r="D28" s="9" t="s">
        <v>99</v>
      </c>
      <c r="E28" s="9" t="s">
        <v>100</v>
      </c>
      <c r="F28" s="9" t="s">
        <v>86</v>
      </c>
      <c r="G28" s="9" t="n">
        <v>18</v>
      </c>
      <c r="H28" s="9" t="n">
        <v>13.7916666666667</v>
      </c>
      <c r="I28" s="9" t="n">
        <v>7.50874195013778</v>
      </c>
      <c r="J28" s="9" t="n">
        <v>53</v>
      </c>
      <c r="K28" s="9" t="n">
        <v>301</v>
      </c>
    </row>
    <row r="29" customFormat="false" ht="15" hidden="false" customHeight="false" outlineLevel="0" collapsed="false">
      <c r="A29" s="9" t="s">
        <v>53</v>
      </c>
      <c r="B29" s="9" t="s">
        <v>54</v>
      </c>
      <c r="C29" s="9" t="s">
        <v>33</v>
      </c>
      <c r="D29" s="9" t="s">
        <v>108</v>
      </c>
      <c r="E29" s="9" t="s">
        <v>109</v>
      </c>
      <c r="F29" s="9" t="s">
        <v>86</v>
      </c>
      <c r="G29" s="9" t="n">
        <v>18</v>
      </c>
      <c r="H29" s="9" t="n">
        <v>13.5769230769231</v>
      </c>
      <c r="I29" s="9" t="n">
        <v>7.88233605725213</v>
      </c>
      <c r="J29" s="9" t="n">
        <v>55</v>
      </c>
      <c r="K29" s="9" t="n">
        <v>299</v>
      </c>
    </row>
    <row r="30" customFormat="false" ht="15" hidden="false" customHeight="false" outlineLevel="0" collapsed="false">
      <c r="A30" s="9" t="s">
        <v>45</v>
      </c>
      <c r="B30" s="9" t="s">
        <v>46</v>
      </c>
      <c r="C30" s="9" t="s">
        <v>36</v>
      </c>
      <c r="D30" s="9" t="s">
        <v>102</v>
      </c>
      <c r="E30" s="9" t="s">
        <v>103</v>
      </c>
      <c r="F30" s="9" t="s">
        <v>84</v>
      </c>
      <c r="G30" s="9" t="n">
        <v>17</v>
      </c>
      <c r="H30" s="9" t="n">
        <v>14.24</v>
      </c>
      <c r="I30" s="9" t="n">
        <v>8.3239511810982</v>
      </c>
      <c r="J30" s="9" t="n">
        <v>57</v>
      </c>
      <c r="K30" s="9" t="n">
        <v>299</v>
      </c>
    </row>
    <row r="31" customFormat="false" ht="15" hidden="false" customHeight="false" outlineLevel="0" collapsed="false">
      <c r="A31" s="9" t="s">
        <v>47</v>
      </c>
      <c r="B31" s="9" t="s">
        <v>48</v>
      </c>
      <c r="C31" s="9" t="s">
        <v>24</v>
      </c>
      <c r="D31" s="9" t="s">
        <v>102</v>
      </c>
      <c r="E31" s="9" t="s">
        <v>103</v>
      </c>
      <c r="F31" s="9" t="s">
        <v>82</v>
      </c>
      <c r="G31" s="9" t="n">
        <v>18</v>
      </c>
      <c r="H31" s="9" t="n">
        <v>13.4262295081967</v>
      </c>
      <c r="I31" s="9" t="n">
        <v>7.9696487090993</v>
      </c>
      <c r="J31" s="9" t="n">
        <v>56</v>
      </c>
      <c r="K31" s="9" t="n">
        <v>298</v>
      </c>
    </row>
    <row r="32" customFormat="false" ht="15" hidden="false" customHeight="false" outlineLevel="0" collapsed="false">
      <c r="A32" s="9" t="s">
        <v>31</v>
      </c>
      <c r="B32" s="9" t="s">
        <v>32</v>
      </c>
      <c r="C32" s="9" t="s">
        <v>33</v>
      </c>
      <c r="D32" s="9" t="s">
        <v>108</v>
      </c>
      <c r="E32" s="9" t="s">
        <v>109</v>
      </c>
      <c r="F32" s="9" t="s">
        <v>82</v>
      </c>
      <c r="G32" s="9" t="n">
        <v>19</v>
      </c>
      <c r="H32" s="9" t="n">
        <v>12.7592592592593</v>
      </c>
      <c r="I32" s="9" t="n">
        <v>7.80405116175503</v>
      </c>
      <c r="J32" s="9" t="n">
        <v>56</v>
      </c>
      <c r="K32" s="9" t="n">
        <v>298</v>
      </c>
    </row>
    <row r="33" customFormat="false" ht="15" hidden="false" customHeight="false" outlineLevel="0" collapsed="false">
      <c r="A33" s="9" t="s">
        <v>53</v>
      </c>
      <c r="B33" s="9" t="s">
        <v>54</v>
      </c>
      <c r="C33" s="9" t="s">
        <v>33</v>
      </c>
      <c r="D33" s="9" t="s">
        <v>105</v>
      </c>
      <c r="E33" s="9" t="s">
        <v>106</v>
      </c>
      <c r="F33" s="9" t="s">
        <v>86</v>
      </c>
      <c r="G33" s="9" t="n">
        <v>18</v>
      </c>
      <c r="H33" s="9" t="n">
        <v>13.375</v>
      </c>
      <c r="I33" s="9" t="n">
        <v>7.94026903451171</v>
      </c>
      <c r="J33" s="9" t="n">
        <v>56</v>
      </c>
      <c r="K33" s="9" t="n">
        <v>297</v>
      </c>
    </row>
    <row r="34" customFormat="false" ht="15" hidden="false" customHeight="false" outlineLevel="0" collapsed="false">
      <c r="A34" s="9" t="s">
        <v>75</v>
      </c>
      <c r="B34" s="9" t="s">
        <v>76</v>
      </c>
      <c r="C34" s="9" t="s">
        <v>36</v>
      </c>
      <c r="D34" s="9" t="s">
        <v>105</v>
      </c>
      <c r="E34" s="9" t="s">
        <v>106</v>
      </c>
      <c r="F34" s="9" t="s">
        <v>82</v>
      </c>
      <c r="G34" s="9" t="n">
        <v>18</v>
      </c>
      <c r="H34" s="9" t="n">
        <v>13.9230769230769</v>
      </c>
      <c r="I34" s="9" t="n">
        <v>6.4833002786984</v>
      </c>
      <c r="J34" s="9" t="n">
        <v>45</v>
      </c>
      <c r="K34" s="9" t="n">
        <v>296</v>
      </c>
    </row>
    <row r="35" customFormat="false" ht="15" hidden="false" customHeight="false" outlineLevel="0" collapsed="false">
      <c r="A35" s="9" t="s">
        <v>59</v>
      </c>
      <c r="B35" s="9" t="s">
        <v>60</v>
      </c>
      <c r="C35" s="9" t="s">
        <v>27</v>
      </c>
      <c r="D35" s="9" t="s">
        <v>99</v>
      </c>
      <c r="E35" s="9" t="s">
        <v>100</v>
      </c>
      <c r="F35" s="9" t="s">
        <v>94</v>
      </c>
      <c r="G35" s="9" t="n">
        <v>17</v>
      </c>
      <c r="H35" s="9" t="n">
        <v>14.1481481481482</v>
      </c>
      <c r="I35" s="9" t="n">
        <v>8.08541059133475</v>
      </c>
      <c r="J35" s="9" t="n">
        <v>55</v>
      </c>
      <c r="K35" s="9" t="n">
        <v>296</v>
      </c>
    </row>
    <row r="36" customFormat="false" ht="15" hidden="false" customHeight="false" outlineLevel="0" collapsed="false">
      <c r="A36" s="9" t="s">
        <v>47</v>
      </c>
      <c r="B36" s="9" t="s">
        <v>48</v>
      </c>
      <c r="C36" s="9" t="s">
        <v>24</v>
      </c>
      <c r="D36" s="9" t="s">
        <v>105</v>
      </c>
      <c r="E36" s="9" t="s">
        <v>106</v>
      </c>
      <c r="F36" s="9" t="s">
        <v>82</v>
      </c>
      <c r="G36" s="9" t="n">
        <v>18</v>
      </c>
      <c r="H36" s="9" t="n">
        <v>13.5645161290323</v>
      </c>
      <c r="I36" s="9" t="n">
        <v>7.37657116965918</v>
      </c>
      <c r="J36" s="9" t="n">
        <v>52</v>
      </c>
      <c r="K36" s="9" t="n">
        <v>296</v>
      </c>
    </row>
    <row r="37" customFormat="false" ht="15" hidden="false" customHeight="false" outlineLevel="0" collapsed="false">
      <c r="A37" s="9" t="s">
        <v>39</v>
      </c>
      <c r="B37" s="9" t="s">
        <v>40</v>
      </c>
      <c r="C37" s="9" t="s">
        <v>27</v>
      </c>
      <c r="D37" s="9" t="s">
        <v>99</v>
      </c>
      <c r="E37" s="9" t="s">
        <v>100</v>
      </c>
      <c r="F37" s="9" t="s">
        <v>84</v>
      </c>
      <c r="G37" s="9" t="n">
        <v>18</v>
      </c>
      <c r="H37" s="9" t="n">
        <v>13.0169491525424</v>
      </c>
      <c r="I37" s="9" t="n">
        <v>8.72667635397493</v>
      </c>
      <c r="J37" s="9" t="n">
        <v>61</v>
      </c>
      <c r="K37" s="9" t="n">
        <v>295</v>
      </c>
    </row>
    <row r="38" customFormat="false" ht="15" hidden="false" customHeight="false" outlineLevel="0" collapsed="false">
      <c r="A38" s="9" t="s">
        <v>45</v>
      </c>
      <c r="B38" s="9" t="s">
        <v>46</v>
      </c>
      <c r="C38" s="9" t="s">
        <v>36</v>
      </c>
      <c r="D38" s="9" t="s">
        <v>108</v>
      </c>
      <c r="E38" s="9" t="s">
        <v>109</v>
      </c>
      <c r="F38" s="9" t="s">
        <v>84</v>
      </c>
      <c r="G38" s="9" t="n">
        <v>17</v>
      </c>
      <c r="H38" s="9" t="n">
        <v>13.9761904761905</v>
      </c>
      <c r="I38" s="9" t="n">
        <v>7.95563336301619</v>
      </c>
      <c r="J38" s="9" t="n">
        <v>54</v>
      </c>
      <c r="K38" s="9" t="n">
        <v>292</v>
      </c>
    </row>
    <row r="39" customFormat="false" ht="15" hidden="false" customHeight="false" outlineLevel="0" collapsed="false">
      <c r="A39" s="9" t="s">
        <v>49</v>
      </c>
      <c r="B39" s="9" t="s">
        <v>50</v>
      </c>
      <c r="C39" s="9" t="s">
        <v>27</v>
      </c>
      <c r="D39" s="9" t="s">
        <v>105</v>
      </c>
      <c r="E39" s="9" t="s">
        <v>106</v>
      </c>
      <c r="F39" s="9" t="s">
        <v>90</v>
      </c>
      <c r="G39" s="9" t="n">
        <v>19</v>
      </c>
      <c r="H39" s="9" t="n">
        <v>12.5263157894737</v>
      </c>
      <c r="I39" s="9" t="n">
        <v>7.47162552393552</v>
      </c>
      <c r="J39" s="9" t="n">
        <v>54</v>
      </c>
      <c r="K39" s="9" t="n">
        <v>292</v>
      </c>
    </row>
    <row r="40" customFormat="false" ht="15" hidden="false" customHeight="false" outlineLevel="0" collapsed="false">
      <c r="A40" s="9" t="s">
        <v>39</v>
      </c>
      <c r="B40" s="9" t="s">
        <v>40</v>
      </c>
      <c r="C40" s="9" t="s">
        <v>27</v>
      </c>
      <c r="D40" s="9" t="s">
        <v>105</v>
      </c>
      <c r="E40" s="9" t="s">
        <v>106</v>
      </c>
      <c r="F40" s="9" t="s">
        <v>84</v>
      </c>
      <c r="G40" s="9" t="n">
        <v>18</v>
      </c>
      <c r="H40" s="9" t="n">
        <v>12.9591836734694</v>
      </c>
      <c r="I40" s="9" t="n">
        <v>8.26125289043544</v>
      </c>
      <c r="J40" s="9" t="n">
        <v>58</v>
      </c>
      <c r="K40" s="9" t="n">
        <v>291</v>
      </c>
    </row>
    <row r="41" customFormat="false" ht="15" hidden="false" customHeight="false" outlineLevel="0" collapsed="false">
      <c r="A41" s="9" t="s">
        <v>51</v>
      </c>
      <c r="B41" s="9" t="s">
        <v>52</v>
      </c>
      <c r="C41" s="9" t="s">
        <v>30</v>
      </c>
      <c r="D41" s="9" t="s">
        <v>102</v>
      </c>
      <c r="E41" s="9" t="s">
        <v>103</v>
      </c>
      <c r="F41" s="9" t="s">
        <v>84</v>
      </c>
      <c r="G41" s="9" t="n">
        <v>18</v>
      </c>
      <c r="H41" s="9" t="n">
        <v>12.8983050847458</v>
      </c>
      <c r="I41" s="9" t="n">
        <v>8.32879284057303</v>
      </c>
      <c r="J41" s="9" t="n">
        <v>58</v>
      </c>
      <c r="K41" s="9" t="n">
        <v>290</v>
      </c>
    </row>
    <row r="42" customFormat="false" ht="15" hidden="false" customHeight="false" outlineLevel="0" collapsed="false">
      <c r="A42" s="9" t="s">
        <v>34</v>
      </c>
      <c r="B42" s="9" t="s">
        <v>35</v>
      </c>
      <c r="C42" s="9" t="s">
        <v>36</v>
      </c>
      <c r="D42" s="9" t="s">
        <v>108</v>
      </c>
      <c r="E42" s="9" t="s">
        <v>109</v>
      </c>
      <c r="F42" s="9" t="s">
        <v>84</v>
      </c>
      <c r="G42" s="9" t="n">
        <v>16</v>
      </c>
      <c r="H42" s="9" t="n">
        <v>14.1428571428571</v>
      </c>
      <c r="I42" s="9" t="n">
        <v>9.39011267386471</v>
      </c>
      <c r="J42" s="9" t="n">
        <v>62</v>
      </c>
      <c r="K42" s="9" t="n">
        <v>288</v>
      </c>
    </row>
    <row r="43" customFormat="false" ht="15" hidden="false" customHeight="false" outlineLevel="0" collapsed="false">
      <c r="A43" s="9" t="s">
        <v>55</v>
      </c>
      <c r="B43" s="9" t="s">
        <v>56</v>
      </c>
      <c r="C43" s="9" t="s">
        <v>36</v>
      </c>
      <c r="D43" s="9" t="s">
        <v>108</v>
      </c>
      <c r="E43" s="9" t="s">
        <v>109</v>
      </c>
      <c r="F43" s="9" t="s">
        <v>90</v>
      </c>
      <c r="G43" s="9" t="n">
        <v>17</v>
      </c>
      <c r="H43" s="9" t="n">
        <v>14.1090909090909</v>
      </c>
      <c r="I43" s="9" t="n">
        <v>7.00442380656345</v>
      </c>
      <c r="J43" s="9" t="n">
        <v>48</v>
      </c>
      <c r="K43" s="9" t="n">
        <v>288</v>
      </c>
    </row>
    <row r="44" customFormat="false" ht="15" hidden="false" customHeight="false" outlineLevel="0" collapsed="false">
      <c r="A44" s="9" t="s">
        <v>51</v>
      </c>
      <c r="B44" s="9" t="s">
        <v>52</v>
      </c>
      <c r="C44" s="9" t="s">
        <v>30</v>
      </c>
      <c r="D44" s="9" t="s">
        <v>108</v>
      </c>
      <c r="E44" s="9" t="s">
        <v>109</v>
      </c>
      <c r="F44" s="9" t="s">
        <v>84</v>
      </c>
      <c r="G44" s="9" t="n">
        <v>18</v>
      </c>
      <c r="H44" s="9" t="n">
        <v>13.2037037037037</v>
      </c>
      <c r="I44" s="9" t="n">
        <v>7.01583015873478</v>
      </c>
      <c r="J44" s="9" t="n">
        <v>49</v>
      </c>
      <c r="K44" s="9" t="n">
        <v>287</v>
      </c>
    </row>
    <row r="45" customFormat="false" ht="15" hidden="false" customHeight="false" outlineLevel="0" collapsed="false">
      <c r="A45" s="9" t="s">
        <v>45</v>
      </c>
      <c r="B45" s="9" t="s">
        <v>46</v>
      </c>
      <c r="C45" s="9" t="s">
        <v>36</v>
      </c>
      <c r="D45" s="9" t="s">
        <v>105</v>
      </c>
      <c r="E45" s="9" t="s">
        <v>106</v>
      </c>
      <c r="F45" s="9" t="s">
        <v>84</v>
      </c>
      <c r="G45" s="9" t="n">
        <v>17</v>
      </c>
      <c r="H45" s="9" t="n">
        <v>13.62</v>
      </c>
      <c r="I45" s="9" t="n">
        <v>7.75094464288985</v>
      </c>
      <c r="J45" s="9" t="n">
        <v>53</v>
      </c>
      <c r="K45" s="9" t="n">
        <v>285</v>
      </c>
    </row>
    <row r="46" customFormat="false" ht="15" hidden="false" customHeight="false" outlineLevel="0" collapsed="false">
      <c r="A46" s="9" t="s">
        <v>43</v>
      </c>
      <c r="B46" s="9" t="s">
        <v>44</v>
      </c>
      <c r="C46" s="9" t="s">
        <v>33</v>
      </c>
      <c r="D46" s="9" t="s">
        <v>105</v>
      </c>
      <c r="E46" s="9" t="s">
        <v>106</v>
      </c>
      <c r="F46" s="9" t="s">
        <v>86</v>
      </c>
      <c r="G46" s="9" t="n">
        <v>18</v>
      </c>
      <c r="H46" s="9" t="n">
        <v>12.5925925925926</v>
      </c>
      <c r="I46" s="9" t="n">
        <v>7.83441493045815</v>
      </c>
      <c r="J46" s="9" t="n">
        <v>55</v>
      </c>
      <c r="K46" s="9" t="n">
        <v>282</v>
      </c>
    </row>
    <row r="47" customFormat="false" ht="15" hidden="false" customHeight="false" outlineLevel="0" collapsed="false">
      <c r="A47" s="9" t="s">
        <v>37</v>
      </c>
      <c r="B47" s="9" t="s">
        <v>38</v>
      </c>
      <c r="C47" s="9" t="s">
        <v>24</v>
      </c>
      <c r="D47" s="9" t="s">
        <v>108</v>
      </c>
      <c r="E47" s="9" t="s">
        <v>109</v>
      </c>
      <c r="F47" s="9" t="s">
        <v>88</v>
      </c>
      <c r="G47" s="9" t="n">
        <v>17</v>
      </c>
      <c r="H47" s="9" t="n">
        <v>13.2826086956522</v>
      </c>
      <c r="I47" s="9" t="n">
        <v>7.93210927105286</v>
      </c>
      <c r="J47" s="9" t="n">
        <v>54</v>
      </c>
      <c r="K47" s="9" t="n">
        <v>280</v>
      </c>
    </row>
    <row r="48" customFormat="false" ht="15" hidden="false" customHeight="false" outlineLevel="0" collapsed="false">
      <c r="A48" s="9" t="s">
        <v>47</v>
      </c>
      <c r="B48" s="9" t="s">
        <v>48</v>
      </c>
      <c r="C48" s="9" t="s">
        <v>24</v>
      </c>
      <c r="D48" s="9" t="s">
        <v>99</v>
      </c>
      <c r="E48" s="9" t="s">
        <v>100</v>
      </c>
      <c r="F48" s="9" t="s">
        <v>82</v>
      </c>
      <c r="G48" s="9" t="n">
        <v>18</v>
      </c>
      <c r="H48" s="9" t="n">
        <v>12.5614035087719</v>
      </c>
      <c r="I48" s="9" t="n">
        <v>7.11391379084389</v>
      </c>
      <c r="J48" s="9" t="n">
        <v>50</v>
      </c>
      <c r="K48" s="9" t="n">
        <v>276</v>
      </c>
    </row>
    <row r="49" customFormat="false" ht="15" hidden="false" customHeight="false" outlineLevel="0" collapsed="false">
      <c r="A49" s="9" t="s">
        <v>34</v>
      </c>
      <c r="B49" s="9" t="s">
        <v>35</v>
      </c>
      <c r="C49" s="9" t="s">
        <v>36</v>
      </c>
      <c r="D49" s="9" t="s">
        <v>99</v>
      </c>
      <c r="E49" s="9" t="s">
        <v>100</v>
      </c>
      <c r="F49" s="9" t="s">
        <v>84</v>
      </c>
      <c r="G49" s="9" t="n">
        <v>16</v>
      </c>
      <c r="H49" s="9" t="n">
        <v>13.4255319148936</v>
      </c>
      <c r="I49" s="9" t="n">
        <v>9.12889507303015</v>
      </c>
      <c r="J49" s="9" t="n">
        <v>60</v>
      </c>
      <c r="K49" s="9" t="n">
        <v>275</v>
      </c>
    </row>
    <row r="50" customFormat="false" ht="15" hidden="false" customHeight="false" outlineLevel="0" collapsed="false">
      <c r="A50" s="9" t="s">
        <v>69</v>
      </c>
      <c r="B50" s="9" t="s">
        <v>70</v>
      </c>
      <c r="C50" s="9" t="s">
        <v>27</v>
      </c>
      <c r="D50" s="9" t="s">
        <v>105</v>
      </c>
      <c r="E50" s="9" t="s">
        <v>106</v>
      </c>
      <c r="F50" s="9" t="s">
        <v>82</v>
      </c>
      <c r="G50" s="9" t="n">
        <v>15</v>
      </c>
      <c r="H50" s="9" t="n">
        <v>14.4313725490196</v>
      </c>
      <c r="I50" s="9" t="n">
        <v>8.92693654499859</v>
      </c>
      <c r="J50" s="9" t="n">
        <v>57</v>
      </c>
      <c r="K50" s="9" t="n">
        <v>273</v>
      </c>
    </row>
    <row r="51" customFormat="false" ht="15" hidden="false" customHeight="false" outlineLevel="0" collapsed="false">
      <c r="A51" s="9" t="s">
        <v>28</v>
      </c>
      <c r="B51" s="9" t="s">
        <v>29</v>
      </c>
      <c r="C51" s="9" t="s">
        <v>30</v>
      </c>
      <c r="D51" s="9" t="s">
        <v>102</v>
      </c>
      <c r="E51" s="9" t="s">
        <v>103</v>
      </c>
      <c r="F51" s="9" t="s">
        <v>86</v>
      </c>
      <c r="G51" s="9" t="n">
        <v>17</v>
      </c>
      <c r="H51" s="9" t="n">
        <v>12.6153846153846</v>
      </c>
      <c r="I51" s="9" t="n">
        <v>8.37398831151127</v>
      </c>
      <c r="J51" s="9" t="n">
        <v>57</v>
      </c>
      <c r="K51" s="9" t="n">
        <v>271</v>
      </c>
    </row>
    <row r="52" customFormat="false" ht="15" hidden="false" customHeight="false" outlineLevel="0" collapsed="false">
      <c r="A52" s="9" t="s">
        <v>41</v>
      </c>
      <c r="B52" s="9" t="s">
        <v>42</v>
      </c>
      <c r="C52" s="9" t="s">
        <v>30</v>
      </c>
      <c r="D52" s="9" t="s">
        <v>102</v>
      </c>
      <c r="E52" s="9" t="s">
        <v>103</v>
      </c>
      <c r="F52" s="9" t="s">
        <v>84</v>
      </c>
      <c r="G52" s="9" t="n">
        <v>15</v>
      </c>
      <c r="H52" s="9" t="n">
        <v>14.3529411764706</v>
      </c>
      <c r="I52" s="9" t="n">
        <v>8.70591414938549</v>
      </c>
      <c r="J52" s="9" t="n">
        <v>56</v>
      </c>
      <c r="K52" s="9" t="n">
        <v>271</v>
      </c>
    </row>
    <row r="53" customFormat="false" ht="15" hidden="false" customHeight="false" outlineLevel="0" collapsed="false">
      <c r="A53" s="9" t="s">
        <v>41</v>
      </c>
      <c r="B53" s="9" t="s">
        <v>42</v>
      </c>
      <c r="C53" s="9" t="s">
        <v>30</v>
      </c>
      <c r="D53" s="9" t="s">
        <v>108</v>
      </c>
      <c r="E53" s="9" t="s">
        <v>109</v>
      </c>
      <c r="F53" s="9" t="s">
        <v>84</v>
      </c>
      <c r="G53" s="9" t="n">
        <v>15</v>
      </c>
      <c r="H53" s="9" t="n">
        <v>14.1071428571429</v>
      </c>
      <c r="I53" s="9" t="n">
        <v>8.92326595617744</v>
      </c>
      <c r="J53" s="9" t="n">
        <v>57</v>
      </c>
      <c r="K53" s="9" t="n">
        <v>269</v>
      </c>
    </row>
    <row r="54" customFormat="false" ht="15" hidden="false" customHeight="false" outlineLevel="0" collapsed="false">
      <c r="A54" s="9" t="s">
        <v>22</v>
      </c>
      <c r="B54" s="9" t="s">
        <v>23</v>
      </c>
      <c r="C54" s="9" t="s">
        <v>24</v>
      </c>
      <c r="D54" s="9" t="s">
        <v>99</v>
      </c>
      <c r="E54" s="9" t="s">
        <v>100</v>
      </c>
      <c r="F54" s="9" t="s">
        <v>82</v>
      </c>
      <c r="G54" s="9" t="n">
        <v>15</v>
      </c>
      <c r="H54" s="9" t="n">
        <v>14.5869565217391</v>
      </c>
      <c r="I54" s="9" t="n">
        <v>7.63784753551977</v>
      </c>
      <c r="J54" s="9" t="n">
        <v>49</v>
      </c>
      <c r="K54" s="9" t="n">
        <v>268</v>
      </c>
    </row>
    <row r="55" customFormat="false" ht="15" hidden="false" customHeight="false" outlineLevel="0" collapsed="false">
      <c r="A55" s="9" t="s">
        <v>59</v>
      </c>
      <c r="B55" s="9" t="s">
        <v>60</v>
      </c>
      <c r="C55" s="9" t="s">
        <v>27</v>
      </c>
      <c r="D55" s="9" t="s">
        <v>105</v>
      </c>
      <c r="E55" s="9" t="s">
        <v>106</v>
      </c>
      <c r="F55" s="9" t="s">
        <v>94</v>
      </c>
      <c r="G55" s="9" t="n">
        <v>17</v>
      </c>
      <c r="H55" s="9" t="n">
        <v>12.7241379310345</v>
      </c>
      <c r="I55" s="9" t="n">
        <v>7.4804847939536</v>
      </c>
      <c r="J55" s="9" t="n">
        <v>51</v>
      </c>
      <c r="K55" s="9" t="n">
        <v>267</v>
      </c>
    </row>
    <row r="56" customFormat="false" ht="15" hidden="false" customHeight="false" outlineLevel="0" collapsed="false">
      <c r="A56" s="9" t="s">
        <v>59</v>
      </c>
      <c r="B56" s="9" t="s">
        <v>60</v>
      </c>
      <c r="C56" s="9" t="s">
        <v>27</v>
      </c>
      <c r="D56" s="9" t="s">
        <v>102</v>
      </c>
      <c r="E56" s="9" t="s">
        <v>103</v>
      </c>
      <c r="F56" s="9" t="s">
        <v>94</v>
      </c>
      <c r="G56" s="9" t="n">
        <v>17</v>
      </c>
      <c r="H56" s="9" t="n">
        <v>12.4464285714286</v>
      </c>
      <c r="I56" s="9" t="n">
        <v>8.15736063120495</v>
      </c>
      <c r="J56" s="9" t="n">
        <v>55</v>
      </c>
      <c r="K56" s="9" t="n">
        <v>267</v>
      </c>
    </row>
    <row r="57" customFormat="false" ht="15" hidden="false" customHeight="false" outlineLevel="0" collapsed="false">
      <c r="A57" s="9" t="s">
        <v>37</v>
      </c>
      <c r="B57" s="9" t="s">
        <v>38</v>
      </c>
      <c r="C57" s="9" t="s">
        <v>24</v>
      </c>
      <c r="D57" s="9" t="s">
        <v>102</v>
      </c>
      <c r="E57" s="9" t="s">
        <v>103</v>
      </c>
      <c r="F57" s="9" t="s">
        <v>88</v>
      </c>
      <c r="G57" s="9" t="n">
        <v>17</v>
      </c>
      <c r="H57" s="9" t="n">
        <v>12</v>
      </c>
      <c r="I57" s="9" t="n">
        <v>9.1804139340228</v>
      </c>
      <c r="J57" s="9" t="n">
        <v>62</v>
      </c>
      <c r="K57" s="9" t="n">
        <v>266</v>
      </c>
    </row>
    <row r="58" customFormat="false" ht="15" hidden="false" customHeight="false" outlineLevel="0" collapsed="false">
      <c r="A58" s="9" t="s">
        <v>63</v>
      </c>
      <c r="B58" s="9" t="s">
        <v>64</v>
      </c>
      <c r="C58" s="9" t="s">
        <v>33</v>
      </c>
      <c r="D58" s="9" t="s">
        <v>99</v>
      </c>
      <c r="E58" s="9" t="s">
        <v>100</v>
      </c>
      <c r="F58" s="9" t="s">
        <v>90</v>
      </c>
      <c r="G58" s="9" t="n">
        <v>15</v>
      </c>
      <c r="H58" s="9" t="n">
        <v>13.8510638297872</v>
      </c>
      <c r="I58" s="9" t="n">
        <v>9.03370193125685</v>
      </c>
      <c r="J58" s="9" t="n">
        <v>58</v>
      </c>
      <c r="K58" s="9" t="n">
        <v>266</v>
      </c>
    </row>
    <row r="59" customFormat="false" ht="15" hidden="false" customHeight="false" outlineLevel="0" collapsed="false">
      <c r="A59" s="9" t="s">
        <v>39</v>
      </c>
      <c r="B59" s="9" t="s">
        <v>40</v>
      </c>
      <c r="C59" s="9" t="s">
        <v>27</v>
      </c>
      <c r="D59" s="9" t="s">
        <v>108</v>
      </c>
      <c r="E59" s="9" t="s">
        <v>109</v>
      </c>
      <c r="F59" s="9" t="s">
        <v>84</v>
      </c>
      <c r="G59" s="9" t="n">
        <v>18</v>
      </c>
      <c r="H59" s="9" t="n">
        <v>12.2</v>
      </c>
      <c r="I59" s="9" t="n">
        <v>6.37680455742815</v>
      </c>
      <c r="J59" s="9" t="n">
        <v>45</v>
      </c>
      <c r="K59" s="9" t="n">
        <v>265</v>
      </c>
    </row>
    <row r="60" customFormat="false" ht="15" hidden="false" customHeight="false" outlineLevel="0" collapsed="false">
      <c r="A60" s="9" t="s">
        <v>53</v>
      </c>
      <c r="B60" s="9" t="s">
        <v>54</v>
      </c>
      <c r="C60" s="9" t="s">
        <v>33</v>
      </c>
      <c r="D60" s="9" t="s">
        <v>102</v>
      </c>
      <c r="E60" s="9" t="s">
        <v>103</v>
      </c>
      <c r="F60" s="9" t="s">
        <v>86</v>
      </c>
      <c r="G60" s="9" t="n">
        <v>18</v>
      </c>
      <c r="H60" s="9" t="n">
        <v>11.82</v>
      </c>
      <c r="I60" s="9" t="n">
        <v>7.46608659068403</v>
      </c>
      <c r="J60" s="9" t="n">
        <v>52</v>
      </c>
      <c r="K60" s="9" t="n">
        <v>265</v>
      </c>
    </row>
    <row r="61" customFormat="false" ht="15" hidden="false" customHeight="false" outlineLevel="0" collapsed="false">
      <c r="A61" s="9" t="s">
        <v>55</v>
      </c>
      <c r="B61" s="9" t="s">
        <v>56</v>
      </c>
      <c r="C61" s="9" t="s">
        <v>36</v>
      </c>
      <c r="D61" s="9" t="s">
        <v>102</v>
      </c>
      <c r="E61" s="9" t="s">
        <v>103</v>
      </c>
      <c r="F61" s="9" t="s">
        <v>90</v>
      </c>
      <c r="G61" s="9" t="n">
        <v>17</v>
      </c>
      <c r="H61" s="9" t="n">
        <v>12.4375</v>
      </c>
      <c r="I61" s="9" t="n">
        <v>7.31627812018617</v>
      </c>
      <c r="J61" s="9" t="n">
        <v>50</v>
      </c>
      <c r="K61" s="9" t="n">
        <v>261</v>
      </c>
    </row>
    <row r="62" customFormat="false" ht="15" hidden="false" customHeight="false" outlineLevel="0" collapsed="false">
      <c r="A62" s="9" t="s">
        <v>22</v>
      </c>
      <c r="B62" s="9" t="s">
        <v>23</v>
      </c>
      <c r="C62" s="9" t="s">
        <v>24</v>
      </c>
      <c r="D62" s="9" t="s">
        <v>105</v>
      </c>
      <c r="E62" s="9" t="s">
        <v>106</v>
      </c>
      <c r="F62" s="9" t="s">
        <v>82</v>
      </c>
      <c r="G62" s="9" t="n">
        <v>15</v>
      </c>
      <c r="H62" s="9" t="n">
        <v>13.8524590163934</v>
      </c>
      <c r="I62" s="9" t="n">
        <v>8.16258959230826</v>
      </c>
      <c r="J62" s="9" t="n">
        <v>52</v>
      </c>
      <c r="K62" s="9" t="n">
        <v>260</v>
      </c>
    </row>
    <row r="63" customFormat="false" ht="15" hidden="false" customHeight="false" outlineLevel="0" collapsed="false">
      <c r="A63" s="9" t="s">
        <v>34</v>
      </c>
      <c r="B63" s="9" t="s">
        <v>35</v>
      </c>
      <c r="C63" s="9" t="s">
        <v>36</v>
      </c>
      <c r="D63" s="9" t="s">
        <v>105</v>
      </c>
      <c r="E63" s="9" t="s">
        <v>106</v>
      </c>
      <c r="F63" s="9" t="s">
        <v>84</v>
      </c>
      <c r="G63" s="9" t="n">
        <v>16</v>
      </c>
      <c r="H63" s="9" t="n">
        <v>13.1636363636364</v>
      </c>
      <c r="I63" s="9" t="n">
        <v>7.38558063707935</v>
      </c>
      <c r="J63" s="9" t="n">
        <v>49</v>
      </c>
      <c r="K63" s="9" t="n">
        <v>260</v>
      </c>
    </row>
    <row r="64" customFormat="false" ht="15" hidden="false" customHeight="false" outlineLevel="0" collapsed="false">
      <c r="A64" s="9" t="s">
        <v>22</v>
      </c>
      <c r="B64" s="9" t="s">
        <v>23</v>
      </c>
      <c r="C64" s="9" t="s">
        <v>24</v>
      </c>
      <c r="D64" s="9" t="s">
        <v>108</v>
      </c>
      <c r="E64" s="9" t="s">
        <v>109</v>
      </c>
      <c r="F64" s="9" t="s">
        <v>82</v>
      </c>
      <c r="G64" s="9" t="n">
        <v>15</v>
      </c>
      <c r="H64" s="9" t="n">
        <v>13.6279069767442</v>
      </c>
      <c r="I64" s="9" t="n">
        <v>8.54406855190852</v>
      </c>
      <c r="J64" s="9" t="n">
        <v>55</v>
      </c>
      <c r="K64" s="9" t="n">
        <v>259</v>
      </c>
    </row>
    <row r="65" customFormat="false" ht="15" hidden="false" customHeight="false" outlineLevel="0" collapsed="false">
      <c r="A65" s="9" t="s">
        <v>25</v>
      </c>
      <c r="B65" s="9" t="s">
        <v>26</v>
      </c>
      <c r="C65" s="9" t="s">
        <v>27</v>
      </c>
      <c r="D65" s="9" t="s">
        <v>99</v>
      </c>
      <c r="E65" s="9" t="s">
        <v>100</v>
      </c>
      <c r="F65" s="9" t="s">
        <v>84</v>
      </c>
      <c r="G65" s="9" t="n">
        <v>19</v>
      </c>
      <c r="H65" s="9" t="n">
        <v>10.8867924528302</v>
      </c>
      <c r="I65" s="9" t="n">
        <v>6.90223034566055</v>
      </c>
      <c r="J65" s="9" t="n">
        <v>50</v>
      </c>
      <c r="K65" s="9" t="n">
        <v>257</v>
      </c>
    </row>
    <row r="66" customFormat="false" ht="15" hidden="false" customHeight="false" outlineLevel="0" collapsed="false">
      <c r="A66" s="9" t="s">
        <v>71</v>
      </c>
      <c r="B66" s="9" t="s">
        <v>72</v>
      </c>
      <c r="C66" s="9" t="s">
        <v>30</v>
      </c>
      <c r="D66" s="9" t="s">
        <v>108</v>
      </c>
      <c r="E66" s="9" t="s">
        <v>109</v>
      </c>
      <c r="F66" s="9" t="s">
        <v>86</v>
      </c>
      <c r="G66" s="9" t="n">
        <v>16</v>
      </c>
      <c r="H66" s="9" t="n">
        <v>12.5555555555556</v>
      </c>
      <c r="I66" s="9" t="n">
        <v>8.33194957064664</v>
      </c>
      <c r="J66" s="9" t="n">
        <v>55</v>
      </c>
      <c r="K66" s="9" t="n">
        <v>256</v>
      </c>
    </row>
    <row r="67" customFormat="false" ht="15" hidden="false" customHeight="false" outlineLevel="0" collapsed="false">
      <c r="A67" s="9" t="s">
        <v>71</v>
      </c>
      <c r="B67" s="9" t="s">
        <v>72</v>
      </c>
      <c r="C67" s="9" t="s">
        <v>30</v>
      </c>
      <c r="D67" s="9" t="s">
        <v>102</v>
      </c>
      <c r="E67" s="9" t="s">
        <v>103</v>
      </c>
      <c r="F67" s="9" t="s">
        <v>86</v>
      </c>
      <c r="G67" s="9" t="n">
        <v>16</v>
      </c>
      <c r="H67" s="9" t="n">
        <v>12.9318181818182</v>
      </c>
      <c r="I67" s="9" t="n">
        <v>7.144351248145</v>
      </c>
      <c r="J67" s="9" t="n">
        <v>47</v>
      </c>
      <c r="K67" s="9" t="n">
        <v>254</v>
      </c>
    </row>
    <row r="68" customFormat="false" ht="15" hidden="false" customHeight="false" outlineLevel="0" collapsed="false">
      <c r="A68" s="9" t="s">
        <v>69</v>
      </c>
      <c r="B68" s="9" t="s">
        <v>70</v>
      </c>
      <c r="C68" s="9" t="s">
        <v>27</v>
      </c>
      <c r="D68" s="9" t="s">
        <v>108</v>
      </c>
      <c r="E68" s="9" t="s">
        <v>109</v>
      </c>
      <c r="F68" s="9" t="s">
        <v>82</v>
      </c>
      <c r="G68" s="9" t="n">
        <v>15</v>
      </c>
      <c r="H68" s="9" t="n">
        <v>13.2037037037037</v>
      </c>
      <c r="I68" s="9" t="n">
        <v>8.5723989500961</v>
      </c>
      <c r="J68" s="9" t="n">
        <v>55</v>
      </c>
      <c r="K68" s="9" t="n">
        <v>253</v>
      </c>
    </row>
    <row r="69" customFormat="false" ht="15" hidden="false" customHeight="false" outlineLevel="0" collapsed="false">
      <c r="A69" s="9" t="s">
        <v>67</v>
      </c>
      <c r="B69" s="9" t="s">
        <v>68</v>
      </c>
      <c r="C69" s="9" t="s">
        <v>24</v>
      </c>
      <c r="D69" s="9" t="s">
        <v>102</v>
      </c>
      <c r="E69" s="9" t="s">
        <v>103</v>
      </c>
      <c r="F69" s="9" t="s">
        <v>94</v>
      </c>
      <c r="G69" s="9" t="n">
        <v>13</v>
      </c>
      <c r="H69" s="9" t="n">
        <v>15.6521739130435</v>
      </c>
      <c r="I69" s="9" t="n">
        <v>8.23601141681889</v>
      </c>
      <c r="J69" s="9" t="n">
        <v>49</v>
      </c>
      <c r="K69" s="9" t="n">
        <v>252</v>
      </c>
    </row>
    <row r="70" customFormat="false" ht="15" hidden="false" customHeight="false" outlineLevel="0" collapsed="false">
      <c r="A70" s="9" t="s">
        <v>41</v>
      </c>
      <c r="B70" s="9" t="s">
        <v>42</v>
      </c>
      <c r="C70" s="9" t="s">
        <v>30</v>
      </c>
      <c r="D70" s="9" t="s">
        <v>99</v>
      </c>
      <c r="E70" s="9" t="s">
        <v>100</v>
      </c>
      <c r="F70" s="9" t="s">
        <v>84</v>
      </c>
      <c r="G70" s="9" t="n">
        <v>15</v>
      </c>
      <c r="H70" s="9" t="n">
        <v>12.4883720930233</v>
      </c>
      <c r="I70" s="9" t="n">
        <v>9.98420679784127</v>
      </c>
      <c r="J70" s="9" t="n">
        <v>64</v>
      </c>
      <c r="K70" s="9" t="n">
        <v>251</v>
      </c>
    </row>
    <row r="71" customFormat="false" ht="15" hidden="false" customHeight="false" outlineLevel="0" collapsed="false">
      <c r="A71" s="9" t="s">
        <v>41</v>
      </c>
      <c r="B71" s="9" t="s">
        <v>42</v>
      </c>
      <c r="C71" s="9" t="s">
        <v>30</v>
      </c>
      <c r="D71" s="9" t="s">
        <v>105</v>
      </c>
      <c r="E71" s="9" t="s">
        <v>106</v>
      </c>
      <c r="F71" s="9" t="s">
        <v>84</v>
      </c>
      <c r="G71" s="9" t="n">
        <v>15</v>
      </c>
      <c r="H71" s="9" t="n">
        <v>13.1232876712329</v>
      </c>
      <c r="I71" s="9" t="n">
        <v>8.30318748279414</v>
      </c>
      <c r="J71" s="9" t="n">
        <v>53</v>
      </c>
      <c r="K71" s="9" t="n">
        <v>250</v>
      </c>
    </row>
    <row r="72" customFormat="false" ht="15" hidden="false" customHeight="false" outlineLevel="0" collapsed="false">
      <c r="A72" s="9" t="s">
        <v>69</v>
      </c>
      <c r="B72" s="9" t="s">
        <v>70</v>
      </c>
      <c r="C72" s="9" t="s">
        <v>27</v>
      </c>
      <c r="D72" s="9" t="s">
        <v>102</v>
      </c>
      <c r="E72" s="9" t="s">
        <v>103</v>
      </c>
      <c r="F72" s="9" t="s">
        <v>82</v>
      </c>
      <c r="G72" s="9" t="n">
        <v>15</v>
      </c>
      <c r="H72" s="9" t="n">
        <v>12.8</v>
      </c>
      <c r="I72" s="9" t="n">
        <v>8.92644842484857</v>
      </c>
      <c r="J72" s="9" t="n">
        <v>57</v>
      </c>
      <c r="K72" s="9" t="n">
        <v>249</v>
      </c>
    </row>
    <row r="73" customFormat="false" ht="15" hidden="false" customHeight="false" outlineLevel="0" collapsed="false">
      <c r="A73" s="9" t="s">
        <v>28</v>
      </c>
      <c r="B73" s="9" t="s">
        <v>29</v>
      </c>
      <c r="C73" s="9" t="s">
        <v>30</v>
      </c>
      <c r="D73" s="9" t="s">
        <v>108</v>
      </c>
      <c r="E73" s="9" t="s">
        <v>109</v>
      </c>
      <c r="F73" s="9" t="s">
        <v>86</v>
      </c>
      <c r="G73" s="9" t="n">
        <v>17</v>
      </c>
      <c r="H73" s="9" t="n">
        <v>11.6222222222222</v>
      </c>
      <c r="I73" s="9" t="n">
        <v>7.2434575147285</v>
      </c>
      <c r="J73" s="9" t="n">
        <v>49</v>
      </c>
      <c r="K73" s="9" t="n">
        <v>247</v>
      </c>
    </row>
    <row r="74" customFormat="false" ht="15" hidden="false" customHeight="false" outlineLevel="0" collapsed="false">
      <c r="A74" s="9" t="s">
        <v>63</v>
      </c>
      <c r="B74" s="9" t="s">
        <v>64</v>
      </c>
      <c r="C74" s="9" t="s">
        <v>33</v>
      </c>
      <c r="D74" s="9" t="s">
        <v>102</v>
      </c>
      <c r="E74" s="9" t="s">
        <v>103</v>
      </c>
      <c r="F74" s="9" t="s">
        <v>90</v>
      </c>
      <c r="G74" s="9" t="n">
        <v>15</v>
      </c>
      <c r="H74" s="9" t="n">
        <v>12.5161290322581</v>
      </c>
      <c r="I74" s="9" t="n">
        <v>8.52526031617144</v>
      </c>
      <c r="J74" s="9" t="n">
        <v>54</v>
      </c>
      <c r="K74" s="9" t="n">
        <v>242</v>
      </c>
    </row>
    <row r="75" customFormat="false" ht="15" hidden="false" customHeight="false" outlineLevel="0" collapsed="false">
      <c r="A75" s="9" t="s">
        <v>67</v>
      </c>
      <c r="B75" s="9" t="s">
        <v>68</v>
      </c>
      <c r="C75" s="9" t="s">
        <v>24</v>
      </c>
      <c r="D75" s="9" t="s">
        <v>108</v>
      </c>
      <c r="E75" s="9" t="s">
        <v>109</v>
      </c>
      <c r="F75" s="9" t="s">
        <v>94</v>
      </c>
      <c r="G75" s="9" t="n">
        <v>13</v>
      </c>
      <c r="H75" s="9" t="n">
        <v>14.7647058823529</v>
      </c>
      <c r="I75" s="9" t="n">
        <v>8.17456600754833</v>
      </c>
      <c r="J75" s="9" t="n">
        <v>49</v>
      </c>
      <c r="K75" s="9" t="n">
        <v>241</v>
      </c>
    </row>
    <row r="76" customFormat="false" ht="15" hidden="false" customHeight="false" outlineLevel="0" collapsed="false">
      <c r="A76" s="9" t="s">
        <v>69</v>
      </c>
      <c r="B76" s="9" t="s">
        <v>70</v>
      </c>
      <c r="C76" s="9" t="s">
        <v>27</v>
      </c>
      <c r="D76" s="9" t="s">
        <v>99</v>
      </c>
      <c r="E76" s="9" t="s">
        <v>100</v>
      </c>
      <c r="F76" s="9" t="s">
        <v>82</v>
      </c>
      <c r="G76" s="9" t="n">
        <v>15</v>
      </c>
      <c r="H76" s="9" t="n">
        <v>12.9259259259259</v>
      </c>
      <c r="I76" s="9" t="n">
        <v>7.26805325951102</v>
      </c>
      <c r="J76" s="9" t="n">
        <v>46</v>
      </c>
      <c r="K76" s="9" t="n">
        <v>240</v>
      </c>
    </row>
    <row r="77" customFormat="false" ht="15" hidden="false" customHeight="false" outlineLevel="0" collapsed="false">
      <c r="A77" s="9" t="s">
        <v>71</v>
      </c>
      <c r="B77" s="9" t="s">
        <v>72</v>
      </c>
      <c r="C77" s="9" t="s">
        <v>30</v>
      </c>
      <c r="D77" s="9" t="s">
        <v>105</v>
      </c>
      <c r="E77" s="9" t="s">
        <v>106</v>
      </c>
      <c r="F77" s="9" t="s">
        <v>86</v>
      </c>
      <c r="G77" s="9" t="n">
        <v>16</v>
      </c>
      <c r="H77" s="9" t="n">
        <v>11.936170212766</v>
      </c>
      <c r="I77" s="9" t="n">
        <v>6.89487602851992</v>
      </c>
      <c r="J77" s="9" t="n">
        <v>46</v>
      </c>
      <c r="K77" s="9" t="n">
        <v>237</v>
      </c>
    </row>
    <row r="78" customFormat="false" ht="15" hidden="false" customHeight="false" outlineLevel="0" collapsed="false">
      <c r="A78" s="9" t="s">
        <v>59</v>
      </c>
      <c r="B78" s="9" t="s">
        <v>60</v>
      </c>
      <c r="C78" s="9" t="s">
        <v>27</v>
      </c>
      <c r="D78" s="9" t="s">
        <v>108</v>
      </c>
      <c r="E78" s="9" t="s">
        <v>109</v>
      </c>
      <c r="F78" s="9" t="s">
        <v>94</v>
      </c>
      <c r="G78" s="9" t="n">
        <v>17</v>
      </c>
      <c r="H78" s="9" t="n">
        <v>11.3469387755102</v>
      </c>
      <c r="I78" s="9" t="n">
        <v>6.11197942707653</v>
      </c>
      <c r="J78" s="9" t="n">
        <v>42</v>
      </c>
      <c r="K78" s="9" t="n">
        <v>235</v>
      </c>
    </row>
    <row r="79" customFormat="false" ht="15" hidden="false" customHeight="false" outlineLevel="0" collapsed="false">
      <c r="A79" s="9" t="s">
        <v>34</v>
      </c>
      <c r="B79" s="9" t="s">
        <v>35</v>
      </c>
      <c r="C79" s="9" t="s">
        <v>36</v>
      </c>
      <c r="D79" s="9" t="s">
        <v>102</v>
      </c>
      <c r="E79" s="9" t="s">
        <v>103</v>
      </c>
      <c r="F79" s="9" t="s">
        <v>84</v>
      </c>
      <c r="G79" s="9" t="n">
        <v>16</v>
      </c>
      <c r="H79" s="9" t="n">
        <v>12.1914893617021</v>
      </c>
      <c r="I79" s="9" t="n">
        <v>6.12066456278252</v>
      </c>
      <c r="J79" s="9" t="n">
        <v>40</v>
      </c>
      <c r="K79" s="9" t="n">
        <v>235</v>
      </c>
    </row>
    <row r="80" customFormat="false" ht="15" hidden="false" customHeight="false" outlineLevel="0" collapsed="false">
      <c r="A80" s="9" t="s">
        <v>51</v>
      </c>
      <c r="B80" s="9" t="s">
        <v>52</v>
      </c>
      <c r="C80" s="9" t="s">
        <v>30</v>
      </c>
      <c r="D80" s="9" t="s">
        <v>99</v>
      </c>
      <c r="E80" s="9" t="s">
        <v>100</v>
      </c>
      <c r="F80" s="9" t="s">
        <v>84</v>
      </c>
      <c r="G80" s="9" t="n">
        <v>18</v>
      </c>
      <c r="H80" s="9" t="n">
        <v>10.1666666666667</v>
      </c>
      <c r="I80" s="9" t="n">
        <v>7.44149759959799</v>
      </c>
      <c r="J80" s="9" t="n">
        <v>52</v>
      </c>
      <c r="K80" s="9" t="n">
        <v>235</v>
      </c>
    </row>
    <row r="81" customFormat="false" ht="15" hidden="false" customHeight="false" outlineLevel="0" collapsed="false">
      <c r="A81" s="9" t="s">
        <v>22</v>
      </c>
      <c r="B81" s="9" t="s">
        <v>23</v>
      </c>
      <c r="C81" s="9" t="s">
        <v>24</v>
      </c>
      <c r="D81" s="9" t="s">
        <v>102</v>
      </c>
      <c r="E81" s="9" t="s">
        <v>103</v>
      </c>
      <c r="F81" s="9" t="s">
        <v>82</v>
      </c>
      <c r="G81" s="9" t="n">
        <v>15</v>
      </c>
      <c r="H81" s="9" t="n">
        <v>12.0566037735849</v>
      </c>
      <c r="I81" s="9" t="n">
        <v>7.20420575438569</v>
      </c>
      <c r="J81" s="9" t="n">
        <v>46</v>
      </c>
      <c r="K81" s="9" t="n">
        <v>227</v>
      </c>
    </row>
    <row r="82" customFormat="false" ht="15" hidden="false" customHeight="false" outlineLevel="0" collapsed="false">
      <c r="A82" s="9" t="s">
        <v>63</v>
      </c>
      <c r="B82" s="9" t="s">
        <v>64</v>
      </c>
      <c r="C82" s="9" t="s">
        <v>33</v>
      </c>
      <c r="D82" s="9" t="s">
        <v>108</v>
      </c>
      <c r="E82" s="9" t="s">
        <v>109</v>
      </c>
      <c r="F82" s="9" t="s">
        <v>90</v>
      </c>
      <c r="G82" s="9" t="n">
        <v>15</v>
      </c>
      <c r="H82" s="9" t="n">
        <v>12.0363636363636</v>
      </c>
      <c r="I82" s="9" t="n">
        <v>6.99461072001717</v>
      </c>
      <c r="J82" s="9" t="n">
        <v>45</v>
      </c>
      <c r="K82" s="9" t="n">
        <v>226</v>
      </c>
    </row>
    <row r="83" customFormat="false" ht="15" hidden="false" customHeight="false" outlineLevel="0" collapsed="false">
      <c r="A83" s="9" t="s">
        <v>71</v>
      </c>
      <c r="B83" s="9" t="s">
        <v>72</v>
      </c>
      <c r="C83" s="9" t="s">
        <v>30</v>
      </c>
      <c r="D83" s="9" t="s">
        <v>99</v>
      </c>
      <c r="E83" s="9" t="s">
        <v>100</v>
      </c>
      <c r="F83" s="9" t="s">
        <v>86</v>
      </c>
      <c r="G83" s="9" t="n">
        <v>16</v>
      </c>
      <c r="H83" s="9" t="n">
        <v>11.4489795918367</v>
      </c>
      <c r="I83" s="9" t="n">
        <v>6.35105379868109</v>
      </c>
      <c r="J83" s="9" t="n">
        <v>42</v>
      </c>
      <c r="K83" s="9" t="n">
        <v>225</v>
      </c>
    </row>
    <row r="84" customFormat="false" ht="15" hidden="false" customHeight="false" outlineLevel="0" collapsed="false">
      <c r="A84" s="9" t="s">
        <v>67</v>
      </c>
      <c r="B84" s="9" t="s">
        <v>68</v>
      </c>
      <c r="C84" s="9" t="s">
        <v>24</v>
      </c>
      <c r="D84" s="9" t="s">
        <v>105</v>
      </c>
      <c r="E84" s="9" t="s">
        <v>106</v>
      </c>
      <c r="F84" s="9" t="s">
        <v>94</v>
      </c>
      <c r="G84" s="9" t="n">
        <v>13</v>
      </c>
      <c r="H84" s="9" t="n">
        <v>13.037037037037</v>
      </c>
      <c r="I84" s="9" t="n">
        <v>7.87391912429642</v>
      </c>
      <c r="J84" s="9" t="n">
        <v>47</v>
      </c>
      <c r="K84" s="9" t="n">
        <v>216</v>
      </c>
    </row>
    <row r="85" customFormat="false" ht="15" hidden="false" customHeight="false" outlineLevel="0" collapsed="false">
      <c r="A85" s="9" t="s">
        <v>67</v>
      </c>
      <c r="B85" s="9" t="s">
        <v>68</v>
      </c>
      <c r="C85" s="9" t="s">
        <v>24</v>
      </c>
      <c r="D85" s="9" t="s">
        <v>99</v>
      </c>
      <c r="E85" s="9" t="s">
        <v>100</v>
      </c>
      <c r="F85" s="9" t="s">
        <v>94</v>
      </c>
      <c r="G85" s="9" t="n">
        <v>13</v>
      </c>
      <c r="H85" s="9" t="n">
        <v>12.3888888888889</v>
      </c>
      <c r="I85" s="9" t="n">
        <v>7.48688580916638</v>
      </c>
      <c r="J85" s="9" t="n">
        <v>45</v>
      </c>
      <c r="K85" s="9" t="n">
        <v>206</v>
      </c>
    </row>
    <row r="86" customFormat="false" ht="15" hidden="false" customHeight="false" outlineLevel="0" collapsed="false">
      <c r="A86" s="9" t="s">
        <v>73</v>
      </c>
      <c r="B86" s="9" t="s">
        <v>74</v>
      </c>
      <c r="C86" s="9" t="s">
        <v>33</v>
      </c>
      <c r="D86" s="9" t="s">
        <v>108</v>
      </c>
      <c r="E86" s="9" t="s">
        <v>109</v>
      </c>
      <c r="F86" s="9" t="s">
        <v>96</v>
      </c>
      <c r="G86" s="9" t="n">
        <v>8</v>
      </c>
      <c r="H86" s="9" t="n">
        <v>15.1836734693878</v>
      </c>
      <c r="I86" s="9" t="n">
        <v>9.37566324184534</v>
      </c>
      <c r="J86" s="9" t="n">
        <v>44</v>
      </c>
      <c r="K86" s="9" t="n">
        <v>165</v>
      </c>
    </row>
    <row r="87" customFormat="false" ht="15" hidden="false" customHeight="false" outlineLevel="0" collapsed="false">
      <c r="A87" s="9" t="s">
        <v>73</v>
      </c>
      <c r="B87" s="9" t="s">
        <v>74</v>
      </c>
      <c r="C87" s="9" t="s">
        <v>33</v>
      </c>
      <c r="D87" s="9" t="s">
        <v>99</v>
      </c>
      <c r="E87" s="9" t="s">
        <v>100</v>
      </c>
      <c r="F87" s="9" t="s">
        <v>96</v>
      </c>
      <c r="G87" s="9" t="n">
        <v>8</v>
      </c>
      <c r="H87" s="9" t="n">
        <v>15.375</v>
      </c>
      <c r="I87" s="9" t="n">
        <v>7.24123496863399</v>
      </c>
      <c r="J87" s="9" t="n">
        <v>34</v>
      </c>
      <c r="K87" s="9" t="n">
        <v>157</v>
      </c>
    </row>
    <row r="88" customFormat="false" ht="15" hidden="false" customHeight="false" outlineLevel="0" collapsed="false">
      <c r="A88" s="9" t="s">
        <v>73</v>
      </c>
      <c r="B88" s="9" t="s">
        <v>74</v>
      </c>
      <c r="C88" s="9" t="s">
        <v>33</v>
      </c>
      <c r="D88" s="9" t="s">
        <v>102</v>
      </c>
      <c r="E88" s="9" t="s">
        <v>103</v>
      </c>
      <c r="F88" s="9" t="s">
        <v>96</v>
      </c>
      <c r="G88" s="9" t="n">
        <v>8</v>
      </c>
      <c r="H88" s="9" t="n">
        <v>12.6603773584906</v>
      </c>
      <c r="I88" s="9" t="n">
        <v>7.91285078509445</v>
      </c>
      <c r="J88" s="9" t="n">
        <v>37</v>
      </c>
      <c r="K88" s="9" t="n">
        <v>138</v>
      </c>
    </row>
    <row r="89" customFormat="false" ht="15" hidden="false" customHeight="false" outlineLevel="0" collapsed="false">
      <c r="A89" s="9" t="s">
        <v>73</v>
      </c>
      <c r="B89" s="9" t="s">
        <v>74</v>
      </c>
      <c r="C89" s="9" t="s">
        <v>33</v>
      </c>
      <c r="D89" s="9" t="s">
        <v>105</v>
      </c>
      <c r="E89" s="9" t="s">
        <v>106</v>
      </c>
      <c r="F89" s="9" t="s">
        <v>96</v>
      </c>
      <c r="G89" s="9" t="n">
        <v>8</v>
      </c>
      <c r="H89" s="9" t="n">
        <v>11.6428571428571</v>
      </c>
      <c r="I89" s="9" t="n">
        <v>7.24087795704707</v>
      </c>
      <c r="J89" s="9" t="n">
        <v>34</v>
      </c>
      <c r="K89" s="9" t="n">
        <v>127</v>
      </c>
    </row>
    <row r="90" customFormat="false" ht="15" hidden="false" customHeight="false" outlineLevel="0" collapsed="false">
      <c r="A90" s="9" t="s">
        <v>61</v>
      </c>
      <c r="B90" s="9" t="s">
        <v>62</v>
      </c>
      <c r="C90" s="9" t="s">
        <v>30</v>
      </c>
      <c r="D90" s="9" t="s">
        <v>108</v>
      </c>
      <c r="E90" s="9" t="s">
        <v>109</v>
      </c>
      <c r="F90" s="9" t="s">
        <v>96</v>
      </c>
      <c r="G90" s="9" t="n">
        <v>6</v>
      </c>
      <c r="H90" s="9" t="n">
        <v>13.7037037037037</v>
      </c>
      <c r="I90" s="9" t="n">
        <v>8.6539981590573</v>
      </c>
      <c r="J90" s="9" t="n">
        <v>35</v>
      </c>
      <c r="K90" s="9" t="n">
        <v>117</v>
      </c>
    </row>
    <row r="91" customFormat="false" ht="15" hidden="false" customHeight="false" outlineLevel="0" collapsed="false">
      <c r="A91" s="9" t="s">
        <v>61</v>
      </c>
      <c r="B91" s="9" t="s">
        <v>62</v>
      </c>
      <c r="C91" s="9" t="s">
        <v>30</v>
      </c>
      <c r="D91" s="9" t="s">
        <v>102</v>
      </c>
      <c r="E91" s="9" t="s">
        <v>103</v>
      </c>
      <c r="F91" s="9" t="s">
        <v>96</v>
      </c>
      <c r="G91" s="9" t="n">
        <v>6</v>
      </c>
      <c r="H91" s="9" t="n">
        <v>13.3962264150943</v>
      </c>
      <c r="I91" s="9" t="n">
        <v>8.7053025897162</v>
      </c>
      <c r="J91" s="9" t="n">
        <v>35</v>
      </c>
      <c r="K91" s="9" t="n">
        <v>115</v>
      </c>
    </row>
    <row r="92" customFormat="false" ht="15" hidden="false" customHeight="false" outlineLevel="0" collapsed="false">
      <c r="A92" s="9" t="s">
        <v>61</v>
      </c>
      <c r="B92" s="9" t="s">
        <v>62</v>
      </c>
      <c r="C92" s="9" t="s">
        <v>30</v>
      </c>
      <c r="D92" s="9" t="s">
        <v>105</v>
      </c>
      <c r="E92" s="9" t="s">
        <v>106</v>
      </c>
      <c r="F92" s="9" t="s">
        <v>96</v>
      </c>
      <c r="G92" s="9" t="n">
        <v>6</v>
      </c>
      <c r="H92" s="9" t="n">
        <v>13.5769230769231</v>
      </c>
      <c r="I92" s="9" t="n">
        <v>7.96154028315133</v>
      </c>
      <c r="J92" s="9" t="n">
        <v>32</v>
      </c>
      <c r="K92" s="9" t="n">
        <v>113</v>
      </c>
    </row>
    <row r="93" customFormat="false" ht="15" hidden="false" customHeight="false" outlineLevel="0" collapsed="false">
      <c r="A93" s="9" t="s">
        <v>61</v>
      </c>
      <c r="B93" s="9" t="s">
        <v>62</v>
      </c>
      <c r="C93" s="9" t="s">
        <v>30</v>
      </c>
      <c r="D93" s="9" t="s">
        <v>99</v>
      </c>
      <c r="E93" s="9" t="s">
        <v>100</v>
      </c>
      <c r="F93" s="9" t="s">
        <v>96</v>
      </c>
      <c r="G93" s="9" t="n">
        <v>6</v>
      </c>
      <c r="H93" s="9" t="n">
        <v>12.936170212766</v>
      </c>
      <c r="I93" s="9" t="n">
        <v>7.99294323360395</v>
      </c>
      <c r="J93" s="9" t="n">
        <v>32</v>
      </c>
      <c r="K93" s="9" t="n">
        <v>110</v>
      </c>
    </row>
    <row r="94" customFormat="false" ht="15" hidden="false" customHeight="false" outlineLevel="0" collapsed="false">
      <c r="A94" s="9" t="s">
        <v>57</v>
      </c>
      <c r="B94" s="9" t="s">
        <v>58</v>
      </c>
      <c r="C94" s="9" t="s">
        <v>24</v>
      </c>
      <c r="D94" s="9" t="s">
        <v>102</v>
      </c>
      <c r="E94" s="9" t="s">
        <v>103</v>
      </c>
      <c r="F94" s="9" t="s">
        <v>92</v>
      </c>
      <c r="G94" s="9" t="n">
        <v>4</v>
      </c>
      <c r="H94" s="9" t="n">
        <v>14.3454545454546</v>
      </c>
      <c r="I94" s="9" t="n">
        <v>8.40242068696119</v>
      </c>
      <c r="J94" s="9" t="n">
        <v>28</v>
      </c>
      <c r="K94" s="9" t="n">
        <v>85</v>
      </c>
    </row>
    <row r="95" customFormat="false" ht="15" hidden="false" customHeight="false" outlineLevel="0" collapsed="false">
      <c r="A95" s="9" t="s">
        <v>57</v>
      </c>
      <c r="B95" s="9" t="s">
        <v>58</v>
      </c>
      <c r="C95" s="9" t="s">
        <v>24</v>
      </c>
      <c r="D95" s="9" t="s">
        <v>105</v>
      </c>
      <c r="E95" s="9" t="s">
        <v>106</v>
      </c>
      <c r="F95" s="9" t="s">
        <v>92</v>
      </c>
      <c r="G95" s="9" t="n">
        <v>4</v>
      </c>
      <c r="H95" s="9" t="n">
        <v>13.9824561403509</v>
      </c>
      <c r="I95" s="9" t="n">
        <v>8.20820849618185</v>
      </c>
      <c r="J95" s="9" t="n">
        <v>27</v>
      </c>
      <c r="K95" s="9" t="n">
        <v>83</v>
      </c>
    </row>
    <row r="96" customFormat="false" ht="15" hidden="false" customHeight="false" outlineLevel="0" collapsed="false">
      <c r="A96" s="9" t="s">
        <v>57</v>
      </c>
      <c r="B96" s="9" t="s">
        <v>58</v>
      </c>
      <c r="C96" s="9" t="s">
        <v>24</v>
      </c>
      <c r="D96" s="9" t="s">
        <v>99</v>
      </c>
      <c r="E96" s="9" t="s">
        <v>100</v>
      </c>
      <c r="F96" s="9" t="s">
        <v>92</v>
      </c>
      <c r="G96" s="9" t="n">
        <v>4</v>
      </c>
      <c r="H96" s="9" t="n">
        <v>13.843137254902</v>
      </c>
      <c r="I96" s="9" t="n">
        <v>7.70810624996726</v>
      </c>
      <c r="J96" s="9" t="n">
        <v>25</v>
      </c>
      <c r="K96" s="9" t="n">
        <v>80</v>
      </c>
    </row>
    <row r="97" customFormat="false" ht="15" hidden="false" customHeight="false" outlineLevel="0" collapsed="false">
      <c r="A97" s="9" t="s">
        <v>57</v>
      </c>
      <c r="B97" s="9" t="s">
        <v>58</v>
      </c>
      <c r="C97" s="9" t="s">
        <v>24</v>
      </c>
      <c r="D97" s="9" t="s">
        <v>108</v>
      </c>
      <c r="E97" s="9" t="s">
        <v>109</v>
      </c>
      <c r="F97" s="9" t="s">
        <v>92</v>
      </c>
      <c r="G97" s="9" t="n">
        <v>4</v>
      </c>
      <c r="H97" s="9" t="n">
        <v>12.7674418604651</v>
      </c>
      <c r="I97" s="9" t="n">
        <v>8.24574120755772</v>
      </c>
      <c r="J97" s="9" t="n">
        <v>27</v>
      </c>
      <c r="K97" s="9" t="n">
        <v>78</v>
      </c>
    </row>
    <row r="98" customFormat="false" ht="15" hidden="false" customHeight="false" outlineLevel="0" collapsed="false">
      <c r="A98" s="9" t="s">
        <v>65</v>
      </c>
      <c r="B98" s="9" t="s">
        <v>66</v>
      </c>
      <c r="C98" s="9" t="s">
        <v>36</v>
      </c>
      <c r="D98" s="9" t="s">
        <v>108</v>
      </c>
      <c r="E98" s="9" t="s">
        <v>109</v>
      </c>
      <c r="F98" s="9" t="s">
        <v>92</v>
      </c>
      <c r="G98" s="9" t="n">
        <v>3</v>
      </c>
      <c r="H98" s="9" t="n">
        <v>14.1320754716981</v>
      </c>
      <c r="I98" s="9" t="n">
        <v>8.72670026600295</v>
      </c>
      <c r="J98" s="9" t="n">
        <v>25</v>
      </c>
      <c r="K98" s="9" t="n">
        <v>67</v>
      </c>
    </row>
    <row r="99" customFormat="false" ht="15" hidden="false" customHeight="false" outlineLevel="0" collapsed="false">
      <c r="A99" s="9" t="s">
        <v>65</v>
      </c>
      <c r="B99" s="9" t="s">
        <v>66</v>
      </c>
      <c r="C99" s="9" t="s">
        <v>36</v>
      </c>
      <c r="D99" s="9" t="s">
        <v>99</v>
      </c>
      <c r="E99" s="9" t="s">
        <v>100</v>
      </c>
      <c r="F99" s="9" t="s">
        <v>92</v>
      </c>
      <c r="G99" s="9" t="n">
        <v>3</v>
      </c>
      <c r="H99" s="9" t="n">
        <v>13.5652173913044</v>
      </c>
      <c r="I99" s="9" t="n">
        <v>7.50008051486573</v>
      </c>
      <c r="J99" s="9" t="n">
        <v>21</v>
      </c>
      <c r="K99" s="9" t="n">
        <v>62</v>
      </c>
    </row>
    <row r="100" customFormat="false" ht="15" hidden="false" customHeight="false" outlineLevel="0" collapsed="false">
      <c r="A100" s="9" t="s">
        <v>65</v>
      </c>
      <c r="B100" s="9" t="s">
        <v>66</v>
      </c>
      <c r="C100" s="9" t="s">
        <v>36</v>
      </c>
      <c r="D100" s="9" t="s">
        <v>102</v>
      </c>
      <c r="E100" s="9" t="s">
        <v>103</v>
      </c>
      <c r="F100" s="9" t="s">
        <v>92</v>
      </c>
      <c r="G100" s="9" t="n">
        <v>3</v>
      </c>
      <c r="H100" s="9" t="n">
        <v>12.62</v>
      </c>
      <c r="I100" s="9" t="n">
        <v>8.22859623012135</v>
      </c>
      <c r="J100" s="9" t="n">
        <v>24</v>
      </c>
      <c r="K100" s="9" t="n">
        <v>62</v>
      </c>
    </row>
    <row r="101" customFormat="false" ht="15" hidden="false" customHeight="false" outlineLevel="0" collapsed="false">
      <c r="A101" s="9" t="s">
        <v>65</v>
      </c>
      <c r="B101" s="9" t="s">
        <v>66</v>
      </c>
      <c r="C101" s="9" t="s">
        <v>36</v>
      </c>
      <c r="D101" s="9" t="s">
        <v>105</v>
      </c>
      <c r="E101" s="9" t="s">
        <v>106</v>
      </c>
      <c r="F101" s="9" t="s">
        <v>92</v>
      </c>
      <c r="G101" s="9" t="n">
        <v>3</v>
      </c>
      <c r="H101" s="9" t="n">
        <v>12.02</v>
      </c>
      <c r="I101" s="9" t="n">
        <v>7.14711301784125</v>
      </c>
      <c r="J101" s="9" t="n">
        <v>20</v>
      </c>
      <c r="K101" s="9" t="n">
        <v>56</v>
      </c>
    </row>
    <row r="103" customFormat="false" ht="15" hidden="false" customHeight="false" outlineLevel="0" collapsed="false">
      <c r="A103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8" t="s">
        <v>119</v>
      </c>
      <c r="B4" s="8" t="s">
        <v>78</v>
      </c>
      <c r="C4" s="8" t="s">
        <v>120</v>
      </c>
      <c r="D4" s="8" t="s">
        <v>121</v>
      </c>
      <c r="E4" s="8" t="s">
        <v>122</v>
      </c>
    </row>
    <row r="5" customFormat="false" ht="15" hidden="false" customHeight="false" outlineLevel="0" collapsed="false">
      <c r="A5" s="15" t="s">
        <v>85</v>
      </c>
      <c r="B5" s="9" t="str">
        <f aca="false">INDEX(Suppliers!$B$2:$B$26,MATCH(A5,Suppliers!$A$2:$A$26,0))</f>
        <v>Global Parts Co</v>
      </c>
      <c r="C5" s="9" t="n">
        <f aca="false">COUNTIF(Suppliers!$A$2:$A$26,A5)</f>
        <v>4</v>
      </c>
      <c r="D5" s="9" t="n">
        <f aca="false">ROUND(AVERAGEIF(Suppliers!$A$2:$A$26,A5,Suppliers!$D$2:$D$26),1)</f>
        <v>17.3</v>
      </c>
      <c r="E5" s="14" t="n">
        <f aca="false">AVERAGEIF(Suppliers!$A$2:$A$26,A5,Suppliers!$E$2:$E$26)</f>
        <v>0.919</v>
      </c>
    </row>
    <row r="6" customFormat="false" ht="15" hidden="false" customHeight="false" outlineLevel="0" collapsed="false">
      <c r="A6" s="15" t="s">
        <v>95</v>
      </c>
      <c r="B6" s="9" t="str">
        <f aca="false">INDEX(Suppliers!$B$2:$B$26,MATCH(A6,Suppliers!$A$2:$A$26,0))</f>
        <v>Northline Trading</v>
      </c>
      <c r="C6" s="9" t="n">
        <f aca="false">COUNTIF(Suppliers!$A$2:$A$26,A6)</f>
        <v>2</v>
      </c>
      <c r="D6" s="9" t="n">
        <f aca="false">ROUND(AVERAGEIF(Suppliers!$A$2:$A$26,A6,Suppliers!$D$2:$D$26),1)</f>
        <v>7</v>
      </c>
      <c r="E6" s="14" t="n">
        <f aca="false">AVERAGEIF(Suppliers!$A$2:$A$26,A6,Suppliers!$E$2:$E$26)</f>
        <v>0.944</v>
      </c>
    </row>
    <row r="7" customFormat="false" ht="15" hidden="false" customHeight="false" outlineLevel="0" collapsed="false">
      <c r="A7" s="15" t="s">
        <v>89</v>
      </c>
      <c r="B7" s="9" t="str">
        <f aca="false">INDEX(Suppliers!$B$2:$B$26,MATCH(A7,Suppliers!$A$2:$A$26,0))</f>
        <v>Pacific Sourcing Ltd</v>
      </c>
      <c r="C7" s="9" t="n">
        <f aca="false">COUNTIF(Suppliers!$A$2:$A$26,A7)</f>
        <v>3</v>
      </c>
      <c r="D7" s="9" t="n">
        <f aca="false">ROUND(AVERAGEIF(Suppliers!$A$2:$A$26,A7,Suppliers!$D$2:$D$26),1)</f>
        <v>17</v>
      </c>
      <c r="E7" s="14" t="n">
        <f aca="false">AVERAGEIF(Suppliers!$A$2:$A$26,A7,Suppliers!$E$2:$E$26)</f>
        <v>0.845</v>
      </c>
    </row>
    <row r="8" customFormat="false" ht="15" hidden="false" customHeight="false" outlineLevel="0" collapsed="false">
      <c r="A8" s="15" t="s">
        <v>91</v>
      </c>
      <c r="B8" s="9" t="str">
        <f aca="false">INDEX(Suppliers!$B$2:$B$26,MATCH(A8,Suppliers!$A$2:$A$26,0))</f>
        <v>Union Freight Supply</v>
      </c>
      <c r="C8" s="9" t="n">
        <f aca="false">COUNTIF(Suppliers!$A$2:$A$26,A8)</f>
        <v>2</v>
      </c>
      <c r="D8" s="9" t="n">
        <f aca="false">ROUND(AVERAGEIF(Suppliers!$A$2:$A$26,A8,Suppliers!$D$2:$D$26),1)</f>
        <v>3.5</v>
      </c>
      <c r="E8" s="14" t="n">
        <f aca="false">AVERAGEIF(Suppliers!$A$2:$A$26,A8,Suppliers!$E$2:$E$26)</f>
        <v>0.8665</v>
      </c>
    </row>
    <row r="9" customFormat="false" ht="15" hidden="false" customHeight="false" outlineLevel="0" collapsed="false">
      <c r="A9" s="15" t="s">
        <v>83</v>
      </c>
      <c r="B9" s="9" t="str">
        <f aca="false">INDEX(Suppliers!$B$2:$B$26,MATCH(A9,Suppliers!$A$2:$A$26,0))</f>
        <v>Meridian Wholesale</v>
      </c>
      <c r="C9" s="9" t="n">
        <f aca="false">COUNTIF(Suppliers!$A$2:$A$26,A9)</f>
        <v>6</v>
      </c>
      <c r="D9" s="9" t="n">
        <f aca="false">ROUND(AVERAGEIF(Suppliers!$A$2:$A$26,A9,Suppliers!$D$2:$D$26),1)</f>
        <v>17.2</v>
      </c>
      <c r="E9" s="14" t="n">
        <f aca="false">AVERAGEIF(Suppliers!$A$2:$A$26,A9,Suppliers!$E$2:$E$26)</f>
        <v>0.767666666666667</v>
      </c>
    </row>
    <row r="10" customFormat="false" ht="15" hidden="false" customHeight="false" outlineLevel="0" collapsed="false">
      <c r="A10" s="15" t="s">
        <v>87</v>
      </c>
      <c r="B10" s="9" t="str">
        <f aca="false">INDEX(Suppliers!$B$2:$B$26,MATCH(A10,Suppliers!$A$2:$A$26,0))</f>
        <v>Crestpoint Industries</v>
      </c>
      <c r="C10" s="9" t="n">
        <f aca="false">COUNTIF(Suppliers!$A$2:$A$26,A10)</f>
        <v>1</v>
      </c>
      <c r="D10" s="9" t="n">
        <f aca="false">ROUND(AVERAGEIF(Suppliers!$A$2:$A$26,A10,Suppliers!$D$2:$D$26),1)</f>
        <v>17</v>
      </c>
      <c r="E10" s="14" t="n">
        <f aca="false">AVERAGEIF(Suppliers!$A$2:$A$26,A10,Suppliers!$E$2:$E$26)</f>
        <v>0.797</v>
      </c>
    </row>
    <row r="11" customFormat="false" ht="15" hidden="false" customHeight="false" outlineLevel="0" collapsed="false">
      <c r="A11" s="15" t="s">
        <v>81</v>
      </c>
      <c r="B11" s="9" t="str">
        <f aca="false">INDEX(Suppliers!$B$2:$B$26,MATCH(A11,Suppliers!$A$2:$A$26,0))</f>
        <v>Harbor &amp; Co</v>
      </c>
      <c r="C11" s="9" t="n">
        <f aca="false">COUNTIF(Suppliers!$A$2:$A$26,A11)</f>
        <v>5</v>
      </c>
      <c r="D11" s="9" t="n">
        <f aca="false">ROUND(AVERAGEIF(Suppliers!$A$2:$A$26,A11,Suppliers!$D$2:$D$26),1)</f>
        <v>17</v>
      </c>
      <c r="E11" s="14" t="n">
        <f aca="false">AVERAGEIF(Suppliers!$A$2:$A$26,A11,Suppliers!$E$2:$E$26)</f>
        <v>0.891</v>
      </c>
    </row>
    <row r="12" customFormat="false" ht="15" hidden="false" customHeight="false" outlineLevel="0" collapsed="false">
      <c r="A12" s="15" t="s">
        <v>93</v>
      </c>
      <c r="B12" s="9" t="str">
        <f aca="false">INDEX(Suppliers!$B$2:$B$26,MATCH(A12,Suppliers!$A$2:$A$26,0))</f>
        <v>Silverline Distributors</v>
      </c>
      <c r="C12" s="9" t="n">
        <f aca="false">COUNTIF(Suppliers!$A$2:$A$26,A12)</f>
        <v>2</v>
      </c>
      <c r="D12" s="9" t="n">
        <f aca="false">ROUND(AVERAGEIF(Suppliers!$A$2:$A$26,A12,Suppliers!$D$2:$D$26),1)</f>
        <v>15</v>
      </c>
      <c r="E12" s="14" t="n">
        <f aca="false">AVERAGEIF(Suppliers!$A$2:$A$26,A12,Suppliers!$E$2:$E$26)</f>
        <v>0.8795</v>
      </c>
    </row>
  </sheetData>
  <conditionalFormatting sqref="E5:E12">
    <cfRule type="colorScale" priority="2">
      <colorScale>
        <cfvo type="min" val="0"/>
        <cfvo type="max" val="0"/>
        <color rgb="FFF8696B"/>
        <color rgb="FFC6E8C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2026-09-03T07:22:02Z</dcterms:created>
  <dc:creator>openpyxl</dc:creator>
  <dc:description/>
  <dc:language>en-US</dc:language>
  <cp:lastModifiedBy/>
  <dcterms:modified xsi:type="dcterms:W3CDTF">2026-09-03T07:22:07Z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